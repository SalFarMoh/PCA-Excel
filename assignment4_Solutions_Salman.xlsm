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012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pple/Desktop/Quantitative risk analysis/Risk_Management /Assignments/ASSIGNMENT 4/"/>
    </mc:Choice>
  </mc:AlternateContent>
  <xr:revisionPtr revIDLastSave="0" documentId="8_{F46812FE-9FBD-6147-BC98-BD083FF9CEDE}" xr6:coauthVersionLast="36" xr6:coauthVersionMax="36" xr10:uidLastSave="{00000000-0000-0000-0000-000000000000}"/>
  <bookViews>
    <workbookView xWindow="0" yWindow="460" windowWidth="28800" windowHeight="17540" activeTab="1" xr2:uid="{00000000-000D-0000-FFFF-FFFF00000000}"/>
  </bookViews>
  <sheets>
    <sheet name="Clean Swap Data" sheetId="9" r:id="rId1"/>
    <sheet name="diffs" sheetId="13" r:id="rId2"/>
  </sheets>
  <functionGroups builtInGroupCount="19"/>
  <calcPr calcId="18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42" i="13" l="1"/>
  <c r="Z42" i="13"/>
  <c r="Y43" i="13"/>
  <c r="Z43" i="13"/>
  <c r="X43" i="13"/>
  <c r="X42" i="13"/>
  <c r="X41" i="13"/>
  <c r="M37" i="13" l="1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M101" i="13"/>
  <c r="M102" i="13"/>
  <c r="M103" i="13"/>
  <c r="M104" i="13"/>
  <c r="M105" i="13"/>
  <c r="M106" i="13"/>
  <c r="M107" i="13"/>
  <c r="M108" i="13"/>
  <c r="M109" i="13"/>
  <c r="M110" i="13"/>
  <c r="M111" i="13"/>
  <c r="M112" i="13"/>
  <c r="M113" i="13"/>
  <c r="M114" i="13"/>
  <c r="M115" i="13"/>
  <c r="M116" i="13"/>
  <c r="M117" i="13"/>
  <c r="M118" i="13"/>
  <c r="M119" i="13"/>
  <c r="M120" i="13"/>
  <c r="M121" i="13"/>
  <c r="M122" i="13"/>
  <c r="M123" i="13"/>
  <c r="M124" i="13"/>
  <c r="M125" i="13"/>
  <c r="M126" i="13"/>
  <c r="M127" i="13"/>
  <c r="M128" i="13"/>
  <c r="M129" i="13"/>
  <c r="M130" i="13"/>
  <c r="M131" i="13"/>
  <c r="M132" i="13"/>
  <c r="M133" i="13"/>
  <c r="M134" i="13"/>
  <c r="M135" i="13"/>
  <c r="M136" i="13"/>
  <c r="M137" i="13"/>
  <c r="M138" i="13"/>
  <c r="M139" i="13"/>
  <c r="M140" i="13"/>
  <c r="M141" i="13"/>
  <c r="M142" i="13"/>
  <c r="M143" i="13"/>
  <c r="M144" i="13"/>
  <c r="M145" i="13"/>
  <c r="M146" i="13"/>
  <c r="M147" i="13"/>
  <c r="M148" i="13"/>
  <c r="M149" i="13"/>
  <c r="M150" i="13"/>
  <c r="M151" i="13"/>
  <c r="M152" i="13"/>
  <c r="M153" i="13"/>
  <c r="M154" i="13"/>
  <c r="M155" i="13"/>
  <c r="M156" i="13"/>
  <c r="M157" i="13"/>
  <c r="M158" i="13"/>
  <c r="M159" i="13"/>
  <c r="M160" i="13"/>
  <c r="M161" i="13"/>
  <c r="M162" i="13"/>
  <c r="M163" i="13"/>
  <c r="M164" i="13"/>
  <c r="M165" i="13"/>
  <c r="M166" i="13"/>
  <c r="M167" i="13"/>
  <c r="M168" i="13"/>
  <c r="M169" i="13"/>
  <c r="M170" i="13"/>
  <c r="M171" i="13"/>
  <c r="M172" i="13"/>
  <c r="M173" i="13"/>
  <c r="M174" i="13"/>
  <c r="M175" i="13"/>
  <c r="M176" i="13"/>
  <c r="M177" i="13"/>
  <c r="M178" i="13"/>
  <c r="M179" i="13"/>
  <c r="M180" i="13"/>
  <c r="M181" i="13"/>
  <c r="M182" i="13"/>
  <c r="M183" i="13"/>
  <c r="M184" i="13"/>
  <c r="M185" i="13"/>
  <c r="M186" i="13"/>
  <c r="M187" i="13"/>
  <c r="M188" i="13"/>
  <c r="M189" i="13"/>
  <c r="M190" i="13"/>
  <c r="M191" i="13"/>
  <c r="M192" i="13"/>
  <c r="M193" i="13"/>
  <c r="M194" i="13"/>
  <c r="M195" i="13"/>
  <c r="M196" i="13"/>
  <c r="M197" i="13"/>
  <c r="M198" i="13"/>
  <c r="M199" i="13"/>
  <c r="M200" i="13"/>
  <c r="M201" i="13"/>
  <c r="M202" i="13"/>
  <c r="M203" i="13"/>
  <c r="M204" i="13"/>
  <c r="M205" i="13"/>
  <c r="M206" i="13"/>
  <c r="M207" i="13"/>
  <c r="M208" i="13"/>
  <c r="M209" i="13"/>
  <c r="M210" i="13"/>
  <c r="M211" i="13"/>
  <c r="M212" i="13"/>
  <c r="M213" i="13"/>
  <c r="M214" i="13"/>
  <c r="M215" i="13"/>
  <c r="M216" i="13"/>
  <c r="M217" i="13"/>
  <c r="M218" i="13"/>
  <c r="M219" i="13"/>
  <c r="M220" i="13"/>
  <c r="M221" i="13"/>
  <c r="M222" i="13"/>
  <c r="M223" i="13"/>
  <c r="M224" i="13"/>
  <c r="M225" i="13"/>
  <c r="M226" i="13"/>
  <c r="M227" i="13"/>
  <c r="M228" i="13"/>
  <c r="M229" i="13"/>
  <c r="M230" i="13"/>
  <c r="M231" i="13"/>
  <c r="M232" i="13"/>
  <c r="M233" i="13"/>
  <c r="M234" i="13"/>
  <c r="M235" i="13"/>
  <c r="M236" i="13"/>
  <c r="M237" i="13"/>
  <c r="L37" i="13"/>
  <c r="L38" i="13"/>
  <c r="L39" i="13"/>
  <c r="L40" i="13"/>
  <c r="L41" i="13"/>
  <c r="L42" i="13"/>
  <c r="L43" i="13"/>
  <c r="L44" i="13"/>
  <c r="L45" i="13"/>
  <c r="L46" i="13"/>
  <c r="L47" i="13"/>
  <c r="L48" i="13"/>
  <c r="L49" i="13"/>
  <c r="L50" i="13"/>
  <c r="L51" i="13"/>
  <c r="L52" i="13"/>
  <c r="L53" i="13"/>
  <c r="L54" i="13"/>
  <c r="L55" i="13"/>
  <c r="L56" i="13"/>
  <c r="L57" i="13"/>
  <c r="L58" i="13"/>
  <c r="L59" i="13"/>
  <c r="L60" i="13"/>
  <c r="L61" i="13"/>
  <c r="L62" i="13"/>
  <c r="L63" i="13"/>
  <c r="L64" i="13"/>
  <c r="L65" i="13"/>
  <c r="L66" i="13"/>
  <c r="L67" i="13"/>
  <c r="L68" i="13"/>
  <c r="L69" i="13"/>
  <c r="L70" i="13"/>
  <c r="L71" i="13"/>
  <c r="L72" i="13"/>
  <c r="L73" i="13"/>
  <c r="L74" i="13"/>
  <c r="L75" i="13"/>
  <c r="L76" i="13"/>
  <c r="L77" i="13"/>
  <c r="L78" i="13"/>
  <c r="L79" i="13"/>
  <c r="L80" i="13"/>
  <c r="L81" i="13"/>
  <c r="L82" i="13"/>
  <c r="L83" i="13"/>
  <c r="L84" i="13"/>
  <c r="L85" i="13"/>
  <c r="L86" i="13"/>
  <c r="L87" i="13"/>
  <c r="L88" i="13"/>
  <c r="L89" i="13"/>
  <c r="L90" i="13"/>
  <c r="L91" i="13"/>
  <c r="L92" i="13"/>
  <c r="L93" i="13"/>
  <c r="L94" i="13"/>
  <c r="L95" i="13"/>
  <c r="L96" i="13"/>
  <c r="L97" i="13"/>
  <c r="L98" i="13"/>
  <c r="L99" i="13"/>
  <c r="L100" i="13"/>
  <c r="L101" i="13"/>
  <c r="L102" i="13"/>
  <c r="L103" i="13"/>
  <c r="L104" i="13"/>
  <c r="L105" i="13"/>
  <c r="L106" i="13"/>
  <c r="L107" i="13"/>
  <c r="L108" i="13"/>
  <c r="L109" i="13"/>
  <c r="L110" i="13"/>
  <c r="L111" i="13"/>
  <c r="L112" i="13"/>
  <c r="L113" i="13"/>
  <c r="L114" i="13"/>
  <c r="L115" i="13"/>
  <c r="L116" i="13"/>
  <c r="L117" i="13"/>
  <c r="L118" i="13"/>
  <c r="L119" i="13"/>
  <c r="L120" i="13"/>
  <c r="L121" i="13"/>
  <c r="L122" i="13"/>
  <c r="L123" i="13"/>
  <c r="L124" i="13"/>
  <c r="L125" i="13"/>
  <c r="L126" i="13"/>
  <c r="L127" i="13"/>
  <c r="L128" i="13"/>
  <c r="L129" i="13"/>
  <c r="L130" i="13"/>
  <c r="L131" i="13"/>
  <c r="L132" i="13"/>
  <c r="L133" i="13"/>
  <c r="L134" i="13"/>
  <c r="L135" i="13"/>
  <c r="L136" i="13"/>
  <c r="L137" i="13"/>
  <c r="L138" i="13"/>
  <c r="L139" i="13"/>
  <c r="L140" i="13"/>
  <c r="L141" i="13"/>
  <c r="L142" i="13"/>
  <c r="L143" i="13"/>
  <c r="L144" i="13"/>
  <c r="L145" i="13"/>
  <c r="L146" i="13"/>
  <c r="L147" i="13"/>
  <c r="L148" i="13"/>
  <c r="L149" i="13"/>
  <c r="L150" i="13"/>
  <c r="L151" i="13"/>
  <c r="L152" i="13"/>
  <c r="L153" i="13"/>
  <c r="L154" i="13"/>
  <c r="L155" i="13"/>
  <c r="L156" i="13"/>
  <c r="L157" i="13"/>
  <c r="L158" i="13"/>
  <c r="L159" i="13"/>
  <c r="L160" i="13"/>
  <c r="L161" i="13"/>
  <c r="L162" i="13"/>
  <c r="L163" i="13"/>
  <c r="L164" i="13"/>
  <c r="L165" i="13"/>
  <c r="L166" i="13"/>
  <c r="L167" i="13"/>
  <c r="L168" i="13"/>
  <c r="L169" i="13"/>
  <c r="L170" i="13"/>
  <c r="L171" i="13"/>
  <c r="L172" i="13"/>
  <c r="L173" i="13"/>
  <c r="L174" i="13"/>
  <c r="L175" i="13"/>
  <c r="L176" i="13"/>
  <c r="L177" i="13"/>
  <c r="L178" i="13"/>
  <c r="L179" i="13"/>
  <c r="L180" i="13"/>
  <c r="L181" i="13"/>
  <c r="L182" i="13"/>
  <c r="L183" i="13"/>
  <c r="L184" i="13"/>
  <c r="L185" i="13"/>
  <c r="L186" i="13"/>
  <c r="L187" i="13"/>
  <c r="L188" i="13"/>
  <c r="L189" i="13"/>
  <c r="L190" i="13"/>
  <c r="L191" i="13"/>
  <c r="L192" i="13"/>
  <c r="L193" i="13"/>
  <c r="L194" i="13"/>
  <c r="L195" i="13"/>
  <c r="L196" i="13"/>
  <c r="L197" i="13"/>
  <c r="L198" i="13"/>
  <c r="L199" i="13"/>
  <c r="L200" i="13"/>
  <c r="L201" i="13"/>
  <c r="L202" i="13"/>
  <c r="L203" i="13"/>
  <c r="L204" i="13"/>
  <c r="L205" i="13"/>
  <c r="L206" i="13"/>
  <c r="L207" i="13"/>
  <c r="L208" i="13"/>
  <c r="L209" i="13"/>
  <c r="L210" i="13"/>
  <c r="L211" i="13"/>
  <c r="L212" i="13"/>
  <c r="L213" i="13"/>
  <c r="L214" i="13"/>
  <c r="L215" i="13"/>
  <c r="L216" i="13"/>
  <c r="L217" i="13"/>
  <c r="L218" i="13"/>
  <c r="L219" i="13"/>
  <c r="L220" i="13"/>
  <c r="L221" i="13"/>
  <c r="L222" i="13"/>
  <c r="L223" i="13"/>
  <c r="L224" i="13"/>
  <c r="L225" i="13"/>
  <c r="L226" i="13"/>
  <c r="L227" i="13"/>
  <c r="L228" i="13"/>
  <c r="L229" i="13"/>
  <c r="L230" i="13"/>
  <c r="L231" i="13"/>
  <c r="L232" i="13"/>
  <c r="L233" i="13"/>
  <c r="L234" i="13"/>
  <c r="L235" i="13"/>
  <c r="L236" i="13"/>
  <c r="L237" i="13"/>
  <c r="K37" i="13"/>
  <c r="K38" i="13"/>
  <c r="K39" i="13"/>
  <c r="K40" i="13"/>
  <c r="K41" i="13"/>
  <c r="K42" i="13"/>
  <c r="K43" i="13"/>
  <c r="K44" i="13"/>
  <c r="K45" i="13"/>
  <c r="K46" i="13"/>
  <c r="K47" i="13"/>
  <c r="K48" i="13"/>
  <c r="K49" i="13"/>
  <c r="K50" i="13"/>
  <c r="K51" i="13"/>
  <c r="K52" i="13"/>
  <c r="K53" i="13"/>
  <c r="K54" i="13"/>
  <c r="K55" i="13"/>
  <c r="K56" i="13"/>
  <c r="K57" i="13"/>
  <c r="K58" i="13"/>
  <c r="K59" i="13"/>
  <c r="K60" i="13"/>
  <c r="K61" i="13"/>
  <c r="K62" i="13"/>
  <c r="K63" i="13"/>
  <c r="K64" i="13"/>
  <c r="K65" i="13"/>
  <c r="K66" i="13"/>
  <c r="K67" i="13"/>
  <c r="K68" i="13"/>
  <c r="K69" i="13"/>
  <c r="K70" i="13"/>
  <c r="K71" i="13"/>
  <c r="K72" i="13"/>
  <c r="K73" i="13"/>
  <c r="K74" i="13"/>
  <c r="K75" i="13"/>
  <c r="K76" i="13"/>
  <c r="K77" i="13"/>
  <c r="K78" i="13"/>
  <c r="K79" i="13"/>
  <c r="K80" i="13"/>
  <c r="K81" i="13"/>
  <c r="K82" i="13"/>
  <c r="K83" i="13"/>
  <c r="K84" i="13"/>
  <c r="K85" i="13"/>
  <c r="K86" i="13"/>
  <c r="K87" i="13"/>
  <c r="K88" i="13"/>
  <c r="K89" i="13"/>
  <c r="K90" i="13"/>
  <c r="K91" i="13"/>
  <c r="K92" i="13"/>
  <c r="K93" i="13"/>
  <c r="K94" i="13"/>
  <c r="K95" i="13"/>
  <c r="K96" i="13"/>
  <c r="K97" i="13"/>
  <c r="K98" i="13"/>
  <c r="K99" i="13"/>
  <c r="K100" i="13"/>
  <c r="K101" i="13"/>
  <c r="K102" i="13"/>
  <c r="K103" i="13"/>
  <c r="K104" i="13"/>
  <c r="K105" i="13"/>
  <c r="K106" i="13"/>
  <c r="K107" i="13"/>
  <c r="K108" i="13"/>
  <c r="K109" i="13"/>
  <c r="K110" i="13"/>
  <c r="K111" i="13"/>
  <c r="K112" i="13"/>
  <c r="K113" i="13"/>
  <c r="K114" i="13"/>
  <c r="K115" i="13"/>
  <c r="K116" i="13"/>
  <c r="K117" i="13"/>
  <c r="K118" i="13"/>
  <c r="K119" i="13"/>
  <c r="K120" i="13"/>
  <c r="K121" i="13"/>
  <c r="K122" i="13"/>
  <c r="K123" i="13"/>
  <c r="K124" i="13"/>
  <c r="K125" i="13"/>
  <c r="K126" i="13"/>
  <c r="K127" i="13"/>
  <c r="K128" i="13"/>
  <c r="K129" i="13"/>
  <c r="K130" i="13"/>
  <c r="K131" i="13"/>
  <c r="K132" i="13"/>
  <c r="K133" i="13"/>
  <c r="K134" i="13"/>
  <c r="K135" i="13"/>
  <c r="K136" i="13"/>
  <c r="K137" i="13"/>
  <c r="K138" i="13"/>
  <c r="K139" i="13"/>
  <c r="K140" i="13"/>
  <c r="K141" i="13"/>
  <c r="K142" i="13"/>
  <c r="K143" i="13"/>
  <c r="K144" i="13"/>
  <c r="K145" i="13"/>
  <c r="K146" i="13"/>
  <c r="K147" i="13"/>
  <c r="K148" i="13"/>
  <c r="K149" i="13"/>
  <c r="K150" i="13"/>
  <c r="K151" i="13"/>
  <c r="K152" i="13"/>
  <c r="K153" i="13"/>
  <c r="K154" i="13"/>
  <c r="K155" i="13"/>
  <c r="K156" i="13"/>
  <c r="K157" i="13"/>
  <c r="K158" i="13"/>
  <c r="K159" i="13"/>
  <c r="K160" i="13"/>
  <c r="K161" i="13"/>
  <c r="K162" i="13"/>
  <c r="K163" i="13"/>
  <c r="K164" i="13"/>
  <c r="K165" i="13"/>
  <c r="K166" i="13"/>
  <c r="K167" i="13"/>
  <c r="K168" i="13"/>
  <c r="K169" i="13"/>
  <c r="K170" i="13"/>
  <c r="K171" i="13"/>
  <c r="K172" i="13"/>
  <c r="K173" i="13"/>
  <c r="K174" i="13"/>
  <c r="K175" i="13"/>
  <c r="K176" i="13"/>
  <c r="K177" i="13"/>
  <c r="K178" i="13"/>
  <c r="K179" i="13"/>
  <c r="K180" i="13"/>
  <c r="K181" i="13"/>
  <c r="K182" i="13"/>
  <c r="K183" i="13"/>
  <c r="K184" i="13"/>
  <c r="K185" i="13"/>
  <c r="K186" i="13"/>
  <c r="K187" i="13"/>
  <c r="K188" i="13"/>
  <c r="K189" i="13"/>
  <c r="K190" i="13"/>
  <c r="K191" i="13"/>
  <c r="K192" i="13"/>
  <c r="K193" i="13"/>
  <c r="K194" i="13"/>
  <c r="K195" i="13"/>
  <c r="K196" i="13"/>
  <c r="K197" i="13"/>
  <c r="K198" i="13"/>
  <c r="K199" i="13"/>
  <c r="K200" i="13"/>
  <c r="K201" i="13"/>
  <c r="K202" i="13"/>
  <c r="K203" i="13"/>
  <c r="K204" i="13"/>
  <c r="K205" i="13"/>
  <c r="K206" i="13"/>
  <c r="K207" i="13"/>
  <c r="K208" i="13"/>
  <c r="K209" i="13"/>
  <c r="K210" i="13"/>
  <c r="K211" i="13"/>
  <c r="K212" i="13"/>
  <c r="K213" i="13"/>
  <c r="K214" i="13"/>
  <c r="K215" i="13"/>
  <c r="K216" i="13"/>
  <c r="K217" i="13"/>
  <c r="K218" i="13"/>
  <c r="K219" i="13"/>
  <c r="K220" i="13"/>
  <c r="K221" i="13"/>
  <c r="K222" i="13"/>
  <c r="K223" i="13"/>
  <c r="K224" i="13"/>
  <c r="K225" i="13"/>
  <c r="K226" i="13"/>
  <c r="K227" i="13"/>
  <c r="K228" i="13"/>
  <c r="K229" i="13"/>
  <c r="K230" i="13"/>
  <c r="K231" i="13"/>
  <c r="K232" i="13"/>
  <c r="K233" i="13"/>
  <c r="K234" i="13"/>
  <c r="K235" i="13"/>
  <c r="K236" i="13"/>
  <c r="K237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J57" i="13"/>
  <c r="J58" i="13"/>
  <c r="J59" i="13"/>
  <c r="J60" i="13"/>
  <c r="J61" i="13"/>
  <c r="J62" i="13"/>
  <c r="J63" i="13"/>
  <c r="J64" i="13"/>
  <c r="J65" i="13"/>
  <c r="J66" i="13"/>
  <c r="J67" i="13"/>
  <c r="J68" i="13"/>
  <c r="J69" i="13"/>
  <c r="J70" i="13"/>
  <c r="J71" i="13"/>
  <c r="J72" i="13"/>
  <c r="J73" i="13"/>
  <c r="J74" i="13"/>
  <c r="J75" i="13"/>
  <c r="J76" i="13"/>
  <c r="J77" i="13"/>
  <c r="J78" i="13"/>
  <c r="J79" i="13"/>
  <c r="J80" i="13"/>
  <c r="J81" i="13"/>
  <c r="J82" i="13"/>
  <c r="J83" i="13"/>
  <c r="J84" i="13"/>
  <c r="J85" i="13"/>
  <c r="J86" i="13"/>
  <c r="J87" i="13"/>
  <c r="J88" i="13"/>
  <c r="J89" i="13"/>
  <c r="J90" i="13"/>
  <c r="J91" i="13"/>
  <c r="J92" i="13"/>
  <c r="J93" i="13"/>
  <c r="J94" i="13"/>
  <c r="J95" i="13"/>
  <c r="J96" i="13"/>
  <c r="J97" i="13"/>
  <c r="J98" i="13"/>
  <c r="J99" i="13"/>
  <c r="J100" i="13"/>
  <c r="J101" i="13"/>
  <c r="J102" i="13"/>
  <c r="J103" i="13"/>
  <c r="J104" i="13"/>
  <c r="J105" i="13"/>
  <c r="J106" i="13"/>
  <c r="J107" i="13"/>
  <c r="J108" i="13"/>
  <c r="J109" i="13"/>
  <c r="J110" i="13"/>
  <c r="J111" i="13"/>
  <c r="J112" i="13"/>
  <c r="J113" i="13"/>
  <c r="J114" i="13"/>
  <c r="J115" i="13"/>
  <c r="J116" i="13"/>
  <c r="J117" i="13"/>
  <c r="J118" i="13"/>
  <c r="J119" i="13"/>
  <c r="J120" i="13"/>
  <c r="J121" i="13"/>
  <c r="J122" i="13"/>
  <c r="J123" i="13"/>
  <c r="J124" i="13"/>
  <c r="J125" i="13"/>
  <c r="J126" i="13"/>
  <c r="J127" i="13"/>
  <c r="J128" i="13"/>
  <c r="J129" i="13"/>
  <c r="J130" i="13"/>
  <c r="J131" i="13"/>
  <c r="J132" i="13"/>
  <c r="J133" i="13"/>
  <c r="J134" i="13"/>
  <c r="J135" i="13"/>
  <c r="J136" i="13"/>
  <c r="J137" i="13"/>
  <c r="J138" i="13"/>
  <c r="J139" i="13"/>
  <c r="J140" i="13"/>
  <c r="J141" i="13"/>
  <c r="J142" i="13"/>
  <c r="J143" i="13"/>
  <c r="J144" i="13"/>
  <c r="J145" i="13"/>
  <c r="J146" i="13"/>
  <c r="J147" i="13"/>
  <c r="J148" i="13"/>
  <c r="J149" i="13"/>
  <c r="J150" i="13"/>
  <c r="J151" i="13"/>
  <c r="J152" i="13"/>
  <c r="J153" i="13"/>
  <c r="J154" i="13"/>
  <c r="J155" i="13"/>
  <c r="J156" i="13"/>
  <c r="J157" i="13"/>
  <c r="J158" i="13"/>
  <c r="J159" i="13"/>
  <c r="J160" i="13"/>
  <c r="J161" i="13"/>
  <c r="J162" i="13"/>
  <c r="J163" i="13"/>
  <c r="J164" i="13"/>
  <c r="J165" i="13"/>
  <c r="J166" i="13"/>
  <c r="J167" i="13"/>
  <c r="J168" i="13"/>
  <c r="J169" i="13"/>
  <c r="J170" i="13"/>
  <c r="J171" i="13"/>
  <c r="J172" i="13"/>
  <c r="J173" i="13"/>
  <c r="J174" i="13"/>
  <c r="J175" i="13"/>
  <c r="J176" i="13"/>
  <c r="J177" i="13"/>
  <c r="J178" i="13"/>
  <c r="J179" i="13"/>
  <c r="J180" i="13"/>
  <c r="J181" i="13"/>
  <c r="J182" i="13"/>
  <c r="J183" i="13"/>
  <c r="J184" i="13"/>
  <c r="J185" i="13"/>
  <c r="J186" i="13"/>
  <c r="J187" i="13"/>
  <c r="J188" i="13"/>
  <c r="J189" i="13"/>
  <c r="J190" i="13"/>
  <c r="J191" i="13"/>
  <c r="J192" i="13"/>
  <c r="J193" i="13"/>
  <c r="J194" i="13"/>
  <c r="J195" i="13"/>
  <c r="J196" i="13"/>
  <c r="J197" i="13"/>
  <c r="J198" i="13"/>
  <c r="J199" i="13"/>
  <c r="J200" i="13"/>
  <c r="J201" i="13"/>
  <c r="J202" i="13"/>
  <c r="J203" i="13"/>
  <c r="J204" i="13"/>
  <c r="J205" i="13"/>
  <c r="J206" i="13"/>
  <c r="J207" i="13"/>
  <c r="J208" i="13"/>
  <c r="J209" i="13"/>
  <c r="J210" i="13"/>
  <c r="J211" i="13"/>
  <c r="J212" i="13"/>
  <c r="J213" i="13"/>
  <c r="J214" i="13"/>
  <c r="J215" i="13"/>
  <c r="J216" i="13"/>
  <c r="J217" i="13"/>
  <c r="J218" i="13"/>
  <c r="J219" i="13"/>
  <c r="J220" i="13"/>
  <c r="J221" i="13"/>
  <c r="J222" i="13"/>
  <c r="J223" i="13"/>
  <c r="J224" i="13"/>
  <c r="J225" i="13"/>
  <c r="J226" i="13"/>
  <c r="J227" i="13"/>
  <c r="J228" i="13"/>
  <c r="J229" i="13"/>
  <c r="J230" i="13"/>
  <c r="J231" i="13"/>
  <c r="J232" i="13"/>
  <c r="J233" i="13"/>
  <c r="J234" i="13"/>
  <c r="J235" i="13"/>
  <c r="J236" i="13"/>
  <c r="J237" i="13"/>
  <c r="I37" i="13"/>
  <c r="I38" i="13"/>
  <c r="I39" i="13"/>
  <c r="I40" i="13"/>
  <c r="I41" i="13"/>
  <c r="I42" i="13"/>
  <c r="I43" i="13"/>
  <c r="I44" i="13"/>
  <c r="I45" i="13"/>
  <c r="I46" i="13"/>
  <c r="I4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I101" i="13"/>
  <c r="I102" i="13"/>
  <c r="I103" i="13"/>
  <c r="I104" i="13"/>
  <c r="I105" i="13"/>
  <c r="I106" i="13"/>
  <c r="I107" i="13"/>
  <c r="I108" i="13"/>
  <c r="I109" i="13"/>
  <c r="I110" i="13"/>
  <c r="I111" i="13"/>
  <c r="I112" i="13"/>
  <c r="I113" i="13"/>
  <c r="I114" i="13"/>
  <c r="I115" i="13"/>
  <c r="I116" i="13"/>
  <c r="I117" i="13"/>
  <c r="I118" i="13"/>
  <c r="I119" i="13"/>
  <c r="I120" i="13"/>
  <c r="I121" i="13"/>
  <c r="I122" i="13"/>
  <c r="I123" i="13"/>
  <c r="I124" i="13"/>
  <c r="I125" i="13"/>
  <c r="I126" i="13"/>
  <c r="I127" i="13"/>
  <c r="I128" i="13"/>
  <c r="I129" i="13"/>
  <c r="I130" i="13"/>
  <c r="I131" i="13"/>
  <c r="I132" i="13"/>
  <c r="I133" i="13"/>
  <c r="I134" i="13"/>
  <c r="I135" i="13"/>
  <c r="I136" i="13"/>
  <c r="I137" i="13"/>
  <c r="I138" i="13"/>
  <c r="I139" i="13"/>
  <c r="I140" i="13"/>
  <c r="I141" i="13"/>
  <c r="I142" i="13"/>
  <c r="I143" i="13"/>
  <c r="I144" i="13"/>
  <c r="I145" i="13"/>
  <c r="I146" i="13"/>
  <c r="I147" i="13"/>
  <c r="I148" i="13"/>
  <c r="I149" i="13"/>
  <c r="I150" i="13"/>
  <c r="I151" i="13"/>
  <c r="I152" i="13"/>
  <c r="I153" i="13"/>
  <c r="I154" i="13"/>
  <c r="I155" i="13"/>
  <c r="I156" i="13"/>
  <c r="I157" i="13"/>
  <c r="I158" i="13"/>
  <c r="I159" i="13"/>
  <c r="I160" i="13"/>
  <c r="I161" i="13"/>
  <c r="I162" i="13"/>
  <c r="I163" i="13"/>
  <c r="I164" i="13"/>
  <c r="I165" i="13"/>
  <c r="I166" i="13"/>
  <c r="I167" i="13"/>
  <c r="I168" i="13"/>
  <c r="I169" i="13"/>
  <c r="I170" i="13"/>
  <c r="I171" i="13"/>
  <c r="I172" i="13"/>
  <c r="I173" i="13"/>
  <c r="I174" i="13"/>
  <c r="I175" i="13"/>
  <c r="I176" i="13"/>
  <c r="I177" i="13"/>
  <c r="I178" i="13"/>
  <c r="I179" i="13"/>
  <c r="I180" i="13"/>
  <c r="I181" i="13"/>
  <c r="I182" i="13"/>
  <c r="I183" i="13"/>
  <c r="I184" i="13"/>
  <c r="I185" i="13"/>
  <c r="I186" i="13"/>
  <c r="I187" i="13"/>
  <c r="I188" i="13"/>
  <c r="I189" i="13"/>
  <c r="I190" i="13"/>
  <c r="I191" i="13"/>
  <c r="I192" i="13"/>
  <c r="I193" i="13"/>
  <c r="I194" i="13"/>
  <c r="I195" i="13"/>
  <c r="I196" i="13"/>
  <c r="I197" i="13"/>
  <c r="I198" i="13"/>
  <c r="I199" i="13"/>
  <c r="I200" i="13"/>
  <c r="I201" i="13"/>
  <c r="I202" i="13"/>
  <c r="I203" i="13"/>
  <c r="I204" i="13"/>
  <c r="I205" i="13"/>
  <c r="I206" i="13"/>
  <c r="I207" i="13"/>
  <c r="I208" i="13"/>
  <c r="I209" i="13"/>
  <c r="I210" i="13"/>
  <c r="I211" i="13"/>
  <c r="I212" i="13"/>
  <c r="I213" i="13"/>
  <c r="I214" i="13"/>
  <c r="I215" i="13"/>
  <c r="I216" i="13"/>
  <c r="I217" i="13"/>
  <c r="I218" i="13"/>
  <c r="I219" i="13"/>
  <c r="I220" i="13"/>
  <c r="I221" i="13"/>
  <c r="I222" i="13"/>
  <c r="I223" i="13"/>
  <c r="I224" i="13"/>
  <c r="I225" i="13"/>
  <c r="I226" i="13"/>
  <c r="I227" i="13"/>
  <c r="I228" i="13"/>
  <c r="I229" i="13"/>
  <c r="I230" i="13"/>
  <c r="I231" i="13"/>
  <c r="I232" i="13"/>
  <c r="I233" i="13"/>
  <c r="I234" i="13"/>
  <c r="I235" i="13"/>
  <c r="I236" i="13"/>
  <c r="I237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101" i="13"/>
  <c r="H102" i="13"/>
  <c r="H103" i="13"/>
  <c r="H104" i="13"/>
  <c r="H105" i="13"/>
  <c r="H106" i="13"/>
  <c r="H107" i="13"/>
  <c r="H108" i="13"/>
  <c r="H109" i="13"/>
  <c r="H110" i="13"/>
  <c r="H111" i="13"/>
  <c r="H112" i="13"/>
  <c r="H113" i="13"/>
  <c r="H114" i="13"/>
  <c r="H115" i="13"/>
  <c r="H116" i="13"/>
  <c r="H117" i="13"/>
  <c r="H118" i="13"/>
  <c r="H119" i="13"/>
  <c r="H120" i="13"/>
  <c r="H121" i="13"/>
  <c r="H122" i="13"/>
  <c r="H123" i="13"/>
  <c r="H124" i="13"/>
  <c r="H125" i="13"/>
  <c r="H126" i="13"/>
  <c r="H127" i="13"/>
  <c r="H128" i="13"/>
  <c r="H129" i="13"/>
  <c r="H130" i="13"/>
  <c r="H131" i="13"/>
  <c r="H132" i="13"/>
  <c r="H133" i="13"/>
  <c r="H134" i="13"/>
  <c r="H135" i="13"/>
  <c r="H136" i="13"/>
  <c r="H137" i="13"/>
  <c r="H138" i="13"/>
  <c r="H139" i="13"/>
  <c r="H140" i="13"/>
  <c r="H141" i="13"/>
  <c r="H142" i="13"/>
  <c r="H143" i="13"/>
  <c r="H144" i="13"/>
  <c r="H145" i="13"/>
  <c r="H146" i="13"/>
  <c r="H147" i="13"/>
  <c r="H148" i="13"/>
  <c r="H149" i="13"/>
  <c r="H150" i="13"/>
  <c r="H151" i="13"/>
  <c r="H152" i="13"/>
  <c r="H153" i="13"/>
  <c r="H154" i="13"/>
  <c r="H155" i="13"/>
  <c r="H156" i="13"/>
  <c r="H157" i="13"/>
  <c r="H158" i="13"/>
  <c r="H159" i="13"/>
  <c r="H160" i="13"/>
  <c r="H161" i="13"/>
  <c r="H162" i="13"/>
  <c r="H163" i="13"/>
  <c r="H164" i="13"/>
  <c r="H165" i="13"/>
  <c r="H166" i="13"/>
  <c r="H167" i="13"/>
  <c r="H168" i="13"/>
  <c r="H169" i="13"/>
  <c r="H170" i="13"/>
  <c r="H171" i="13"/>
  <c r="H172" i="13"/>
  <c r="H173" i="13"/>
  <c r="H174" i="13"/>
  <c r="H175" i="13"/>
  <c r="H176" i="13"/>
  <c r="H177" i="13"/>
  <c r="H178" i="13"/>
  <c r="H179" i="13"/>
  <c r="H180" i="13"/>
  <c r="H181" i="13"/>
  <c r="H182" i="13"/>
  <c r="H183" i="13"/>
  <c r="H184" i="13"/>
  <c r="H185" i="13"/>
  <c r="H186" i="13"/>
  <c r="H187" i="13"/>
  <c r="H188" i="13"/>
  <c r="H189" i="13"/>
  <c r="H190" i="13"/>
  <c r="H191" i="13"/>
  <c r="H192" i="13"/>
  <c r="H193" i="13"/>
  <c r="H194" i="13"/>
  <c r="H195" i="13"/>
  <c r="H196" i="13"/>
  <c r="H197" i="13"/>
  <c r="H198" i="13"/>
  <c r="H199" i="13"/>
  <c r="H200" i="13"/>
  <c r="H201" i="13"/>
  <c r="H202" i="13"/>
  <c r="H203" i="13"/>
  <c r="H204" i="13"/>
  <c r="H205" i="13"/>
  <c r="H206" i="13"/>
  <c r="H207" i="13"/>
  <c r="H208" i="13"/>
  <c r="H209" i="13"/>
  <c r="H210" i="13"/>
  <c r="H211" i="13"/>
  <c r="H212" i="13"/>
  <c r="H213" i="13"/>
  <c r="H214" i="13"/>
  <c r="H215" i="13"/>
  <c r="H216" i="13"/>
  <c r="H217" i="13"/>
  <c r="H218" i="13"/>
  <c r="H219" i="13"/>
  <c r="H220" i="13"/>
  <c r="H221" i="13"/>
  <c r="H222" i="13"/>
  <c r="H223" i="13"/>
  <c r="H224" i="13"/>
  <c r="H225" i="13"/>
  <c r="H226" i="13"/>
  <c r="H227" i="13"/>
  <c r="H228" i="13"/>
  <c r="H229" i="13"/>
  <c r="H230" i="13"/>
  <c r="H231" i="13"/>
  <c r="H232" i="13"/>
  <c r="H233" i="13"/>
  <c r="H234" i="13"/>
  <c r="H235" i="13"/>
  <c r="H236" i="13"/>
  <c r="H237" i="13"/>
  <c r="G37" i="13"/>
  <c r="G38" i="13"/>
  <c r="G39" i="13"/>
  <c r="G40" i="13"/>
  <c r="G41" i="13"/>
  <c r="G42" i="13"/>
  <c r="G43" i="13"/>
  <c r="G44" i="13"/>
  <c r="G45" i="13"/>
  <c r="G46" i="13"/>
  <c r="G47" i="13"/>
  <c r="G48" i="13"/>
  <c r="G49" i="13"/>
  <c r="G50" i="13"/>
  <c r="G51" i="13"/>
  <c r="G52" i="13"/>
  <c r="G53" i="13"/>
  <c r="G54" i="13"/>
  <c r="G55" i="13"/>
  <c r="G56" i="13"/>
  <c r="G57" i="13"/>
  <c r="G58" i="13"/>
  <c r="G59" i="13"/>
  <c r="G60" i="13"/>
  <c r="G61" i="13"/>
  <c r="G62" i="13"/>
  <c r="G63" i="13"/>
  <c r="G64" i="13"/>
  <c r="G65" i="13"/>
  <c r="G66" i="13"/>
  <c r="G67" i="13"/>
  <c r="G68" i="13"/>
  <c r="G69" i="13"/>
  <c r="G70" i="13"/>
  <c r="G71" i="13"/>
  <c r="G72" i="13"/>
  <c r="G73" i="13"/>
  <c r="G74" i="13"/>
  <c r="G75" i="13"/>
  <c r="G76" i="13"/>
  <c r="G77" i="13"/>
  <c r="G78" i="13"/>
  <c r="G79" i="13"/>
  <c r="G80" i="13"/>
  <c r="G81" i="13"/>
  <c r="G82" i="13"/>
  <c r="G83" i="13"/>
  <c r="G84" i="13"/>
  <c r="G85" i="13"/>
  <c r="G86" i="13"/>
  <c r="G87" i="13"/>
  <c r="G88" i="13"/>
  <c r="G89" i="13"/>
  <c r="G90" i="13"/>
  <c r="G91" i="13"/>
  <c r="G92" i="13"/>
  <c r="G93" i="13"/>
  <c r="G94" i="13"/>
  <c r="G95" i="13"/>
  <c r="G96" i="13"/>
  <c r="G97" i="13"/>
  <c r="G98" i="13"/>
  <c r="G99" i="13"/>
  <c r="G100" i="13"/>
  <c r="G101" i="13"/>
  <c r="G102" i="13"/>
  <c r="G103" i="13"/>
  <c r="G104" i="13"/>
  <c r="G105" i="13"/>
  <c r="G106" i="13"/>
  <c r="G107" i="13"/>
  <c r="G108" i="13"/>
  <c r="G109" i="13"/>
  <c r="G110" i="13"/>
  <c r="G111" i="13"/>
  <c r="G112" i="13"/>
  <c r="G113" i="13"/>
  <c r="G114" i="13"/>
  <c r="G115" i="13"/>
  <c r="G116" i="13"/>
  <c r="G117" i="13"/>
  <c r="G118" i="13"/>
  <c r="G119" i="13"/>
  <c r="G120" i="13"/>
  <c r="G121" i="13"/>
  <c r="G122" i="13"/>
  <c r="G123" i="13"/>
  <c r="G124" i="13"/>
  <c r="G125" i="13"/>
  <c r="G126" i="13"/>
  <c r="G127" i="13"/>
  <c r="G128" i="13"/>
  <c r="G129" i="13"/>
  <c r="G130" i="13"/>
  <c r="G131" i="13"/>
  <c r="G132" i="13"/>
  <c r="G133" i="13"/>
  <c r="G134" i="13"/>
  <c r="G135" i="13"/>
  <c r="G136" i="13"/>
  <c r="G137" i="13"/>
  <c r="G138" i="13"/>
  <c r="G139" i="13"/>
  <c r="G140" i="13"/>
  <c r="G141" i="13"/>
  <c r="G142" i="13"/>
  <c r="G143" i="13"/>
  <c r="G144" i="13"/>
  <c r="G145" i="13"/>
  <c r="G146" i="13"/>
  <c r="G147" i="13"/>
  <c r="G148" i="13"/>
  <c r="G149" i="13"/>
  <c r="G150" i="13"/>
  <c r="G151" i="13"/>
  <c r="G152" i="13"/>
  <c r="G153" i="13"/>
  <c r="G154" i="13"/>
  <c r="G155" i="13"/>
  <c r="G156" i="13"/>
  <c r="G157" i="13"/>
  <c r="G158" i="13"/>
  <c r="G159" i="13"/>
  <c r="G160" i="13"/>
  <c r="G161" i="13"/>
  <c r="G162" i="13"/>
  <c r="G163" i="13"/>
  <c r="G164" i="13"/>
  <c r="G165" i="13"/>
  <c r="G166" i="13"/>
  <c r="G167" i="13"/>
  <c r="G168" i="13"/>
  <c r="G169" i="13"/>
  <c r="G170" i="13"/>
  <c r="G171" i="13"/>
  <c r="G172" i="13"/>
  <c r="G173" i="13"/>
  <c r="G174" i="13"/>
  <c r="G175" i="13"/>
  <c r="G176" i="13"/>
  <c r="G177" i="13"/>
  <c r="G178" i="13"/>
  <c r="G179" i="13"/>
  <c r="G180" i="13"/>
  <c r="G181" i="13"/>
  <c r="G182" i="13"/>
  <c r="G183" i="13"/>
  <c r="G184" i="13"/>
  <c r="G185" i="13"/>
  <c r="G186" i="13"/>
  <c r="G187" i="13"/>
  <c r="G188" i="13"/>
  <c r="G189" i="13"/>
  <c r="G190" i="13"/>
  <c r="G191" i="13"/>
  <c r="G192" i="13"/>
  <c r="G193" i="13"/>
  <c r="G194" i="13"/>
  <c r="G195" i="13"/>
  <c r="G196" i="13"/>
  <c r="G197" i="13"/>
  <c r="G198" i="13"/>
  <c r="G199" i="13"/>
  <c r="G200" i="13"/>
  <c r="G201" i="13"/>
  <c r="G202" i="13"/>
  <c r="G203" i="13"/>
  <c r="G204" i="13"/>
  <c r="G205" i="13"/>
  <c r="G206" i="13"/>
  <c r="G207" i="13"/>
  <c r="G208" i="13"/>
  <c r="G209" i="13"/>
  <c r="G210" i="13"/>
  <c r="G211" i="13"/>
  <c r="G212" i="13"/>
  <c r="G213" i="13"/>
  <c r="G214" i="13"/>
  <c r="G215" i="13"/>
  <c r="G216" i="13"/>
  <c r="G217" i="13"/>
  <c r="G218" i="13"/>
  <c r="G219" i="13"/>
  <c r="G220" i="13"/>
  <c r="G221" i="13"/>
  <c r="G222" i="13"/>
  <c r="G223" i="13"/>
  <c r="G224" i="13"/>
  <c r="G225" i="13"/>
  <c r="G226" i="13"/>
  <c r="G227" i="13"/>
  <c r="G228" i="13"/>
  <c r="G229" i="13"/>
  <c r="G230" i="13"/>
  <c r="G231" i="13"/>
  <c r="G232" i="13"/>
  <c r="G233" i="13"/>
  <c r="G234" i="13"/>
  <c r="G235" i="13"/>
  <c r="G236" i="13"/>
  <c r="G237" i="13"/>
  <c r="F37" i="13"/>
  <c r="F38" i="13"/>
  <c r="F39" i="13"/>
  <c r="F40" i="13"/>
  <c r="F41" i="13"/>
  <c r="F42" i="13"/>
  <c r="F43" i="13"/>
  <c r="F44" i="13"/>
  <c r="F45" i="13"/>
  <c r="F46" i="13"/>
  <c r="F47" i="13"/>
  <c r="F48" i="13"/>
  <c r="F49" i="13"/>
  <c r="F50" i="13"/>
  <c r="F51" i="13"/>
  <c r="F52" i="13"/>
  <c r="F53" i="13"/>
  <c r="F54" i="13"/>
  <c r="F55" i="13"/>
  <c r="F56" i="13"/>
  <c r="F57" i="13"/>
  <c r="F58" i="13"/>
  <c r="F59" i="13"/>
  <c r="F60" i="13"/>
  <c r="F61" i="13"/>
  <c r="F62" i="13"/>
  <c r="F63" i="13"/>
  <c r="F64" i="13"/>
  <c r="F65" i="13"/>
  <c r="F66" i="13"/>
  <c r="F67" i="13"/>
  <c r="F68" i="13"/>
  <c r="F69" i="13"/>
  <c r="F70" i="13"/>
  <c r="F71" i="13"/>
  <c r="F72" i="13"/>
  <c r="F73" i="13"/>
  <c r="F74" i="13"/>
  <c r="F75" i="13"/>
  <c r="F76" i="13"/>
  <c r="F77" i="13"/>
  <c r="F78" i="13"/>
  <c r="F79" i="13"/>
  <c r="F80" i="13"/>
  <c r="F81" i="13"/>
  <c r="F82" i="13"/>
  <c r="F83" i="13"/>
  <c r="F84" i="13"/>
  <c r="F85" i="13"/>
  <c r="F86" i="13"/>
  <c r="F87" i="13"/>
  <c r="F88" i="13"/>
  <c r="F89" i="13"/>
  <c r="F90" i="13"/>
  <c r="F91" i="13"/>
  <c r="F92" i="13"/>
  <c r="F93" i="13"/>
  <c r="F94" i="13"/>
  <c r="F95" i="13"/>
  <c r="F96" i="13"/>
  <c r="F97" i="13"/>
  <c r="F98" i="13"/>
  <c r="F99" i="13"/>
  <c r="F100" i="13"/>
  <c r="F101" i="13"/>
  <c r="F102" i="13"/>
  <c r="F103" i="13"/>
  <c r="F104" i="13"/>
  <c r="F105" i="13"/>
  <c r="F106" i="13"/>
  <c r="F107" i="13"/>
  <c r="F108" i="13"/>
  <c r="F109" i="13"/>
  <c r="F110" i="13"/>
  <c r="F111" i="13"/>
  <c r="F112" i="13"/>
  <c r="F113" i="13"/>
  <c r="F114" i="13"/>
  <c r="F115" i="13"/>
  <c r="F116" i="13"/>
  <c r="F117" i="13"/>
  <c r="F118" i="13"/>
  <c r="F119" i="13"/>
  <c r="F120" i="13"/>
  <c r="F121" i="13"/>
  <c r="F122" i="13"/>
  <c r="F123" i="13"/>
  <c r="F124" i="13"/>
  <c r="F125" i="13"/>
  <c r="F126" i="13"/>
  <c r="F127" i="13"/>
  <c r="F128" i="13"/>
  <c r="F129" i="13"/>
  <c r="F130" i="13"/>
  <c r="F131" i="13"/>
  <c r="F132" i="13"/>
  <c r="F133" i="13"/>
  <c r="F134" i="13"/>
  <c r="F135" i="13"/>
  <c r="F136" i="13"/>
  <c r="F137" i="13"/>
  <c r="F138" i="13"/>
  <c r="F139" i="13"/>
  <c r="F140" i="13"/>
  <c r="F141" i="13"/>
  <c r="F142" i="13"/>
  <c r="F143" i="13"/>
  <c r="F144" i="13"/>
  <c r="F145" i="13"/>
  <c r="F146" i="13"/>
  <c r="F147" i="13"/>
  <c r="F148" i="13"/>
  <c r="F149" i="13"/>
  <c r="F150" i="13"/>
  <c r="F151" i="13"/>
  <c r="F152" i="13"/>
  <c r="F153" i="13"/>
  <c r="F154" i="13"/>
  <c r="F155" i="13"/>
  <c r="F156" i="13"/>
  <c r="F157" i="13"/>
  <c r="F158" i="13"/>
  <c r="F159" i="13"/>
  <c r="F160" i="13"/>
  <c r="F161" i="13"/>
  <c r="F162" i="13"/>
  <c r="F163" i="13"/>
  <c r="F164" i="13"/>
  <c r="F165" i="13"/>
  <c r="F166" i="13"/>
  <c r="F167" i="13"/>
  <c r="F168" i="13"/>
  <c r="F169" i="13"/>
  <c r="F170" i="13"/>
  <c r="F171" i="13"/>
  <c r="F172" i="13"/>
  <c r="F173" i="13"/>
  <c r="F174" i="13"/>
  <c r="F175" i="13"/>
  <c r="F176" i="13"/>
  <c r="F177" i="13"/>
  <c r="F178" i="13"/>
  <c r="F179" i="13"/>
  <c r="F180" i="13"/>
  <c r="F181" i="13"/>
  <c r="F182" i="13"/>
  <c r="F183" i="13"/>
  <c r="F184" i="13"/>
  <c r="F185" i="13"/>
  <c r="F186" i="13"/>
  <c r="F187" i="13"/>
  <c r="F188" i="13"/>
  <c r="F189" i="13"/>
  <c r="F190" i="13"/>
  <c r="F191" i="13"/>
  <c r="F192" i="13"/>
  <c r="F193" i="13"/>
  <c r="F194" i="13"/>
  <c r="F195" i="13"/>
  <c r="F196" i="13"/>
  <c r="F197" i="13"/>
  <c r="F198" i="13"/>
  <c r="F199" i="13"/>
  <c r="F200" i="13"/>
  <c r="F201" i="13"/>
  <c r="F202" i="13"/>
  <c r="F203" i="13"/>
  <c r="F204" i="13"/>
  <c r="F205" i="13"/>
  <c r="F206" i="13"/>
  <c r="F207" i="13"/>
  <c r="F208" i="13"/>
  <c r="F209" i="13"/>
  <c r="F210" i="13"/>
  <c r="F211" i="13"/>
  <c r="F212" i="13"/>
  <c r="F213" i="13"/>
  <c r="F214" i="13"/>
  <c r="F215" i="13"/>
  <c r="F216" i="13"/>
  <c r="F217" i="13"/>
  <c r="F218" i="13"/>
  <c r="F219" i="13"/>
  <c r="F220" i="13"/>
  <c r="F221" i="13"/>
  <c r="F222" i="13"/>
  <c r="F223" i="13"/>
  <c r="F224" i="13"/>
  <c r="F225" i="13"/>
  <c r="F226" i="13"/>
  <c r="F227" i="13"/>
  <c r="F228" i="13"/>
  <c r="F229" i="13"/>
  <c r="F230" i="13"/>
  <c r="F231" i="13"/>
  <c r="F232" i="13"/>
  <c r="F233" i="13"/>
  <c r="F234" i="13"/>
  <c r="F235" i="13"/>
  <c r="F236" i="13"/>
  <c r="F237" i="13"/>
  <c r="M36" i="13"/>
  <c r="L36" i="13"/>
  <c r="K36" i="13"/>
  <c r="J36" i="13"/>
  <c r="I36" i="13"/>
  <c r="H36" i="13"/>
  <c r="G36" i="13"/>
  <c r="F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5" i="13"/>
  <c r="D56" i="13"/>
  <c r="D57" i="13"/>
  <c r="D58" i="13"/>
  <c r="D59" i="13"/>
  <c r="D60" i="13"/>
  <c r="D61" i="13"/>
  <c r="D62" i="13"/>
  <c r="D63" i="13"/>
  <c r="D64" i="13"/>
  <c r="D65" i="13"/>
  <c r="D66" i="13"/>
  <c r="D67" i="13"/>
  <c r="D68" i="13"/>
  <c r="D69" i="13"/>
  <c r="D70" i="13"/>
  <c r="D71" i="13"/>
  <c r="D72" i="13"/>
  <c r="D73" i="13"/>
  <c r="D74" i="13"/>
  <c r="D75" i="13"/>
  <c r="D76" i="13"/>
  <c r="D77" i="13"/>
  <c r="D78" i="13"/>
  <c r="D79" i="13"/>
  <c r="D80" i="13"/>
  <c r="D81" i="13"/>
  <c r="D82" i="13"/>
  <c r="D83" i="13"/>
  <c r="D84" i="13"/>
  <c r="D85" i="13"/>
  <c r="D86" i="13"/>
  <c r="D87" i="13"/>
  <c r="D88" i="13"/>
  <c r="D89" i="13"/>
  <c r="D90" i="13"/>
  <c r="D91" i="13"/>
  <c r="D92" i="13"/>
  <c r="D93" i="13"/>
  <c r="D94" i="13"/>
  <c r="D95" i="13"/>
  <c r="D96" i="13"/>
  <c r="D97" i="13"/>
  <c r="D98" i="13"/>
  <c r="D99" i="13"/>
  <c r="D100" i="13"/>
  <c r="D101" i="13"/>
  <c r="D102" i="13"/>
  <c r="D103" i="13"/>
  <c r="D104" i="13"/>
  <c r="D105" i="13"/>
  <c r="D106" i="13"/>
  <c r="D107" i="13"/>
  <c r="D108" i="13"/>
  <c r="D109" i="13"/>
  <c r="D110" i="13"/>
  <c r="D111" i="13"/>
  <c r="D112" i="13"/>
  <c r="D113" i="13"/>
  <c r="D114" i="13"/>
  <c r="D115" i="13"/>
  <c r="D116" i="13"/>
  <c r="D117" i="13"/>
  <c r="D118" i="13"/>
  <c r="D119" i="13"/>
  <c r="D120" i="13"/>
  <c r="D121" i="13"/>
  <c r="D122" i="13"/>
  <c r="D123" i="13"/>
  <c r="D124" i="13"/>
  <c r="D125" i="13"/>
  <c r="D126" i="13"/>
  <c r="D127" i="13"/>
  <c r="D128" i="13"/>
  <c r="D129" i="13"/>
  <c r="D130" i="13"/>
  <c r="D131" i="13"/>
  <c r="D132" i="13"/>
  <c r="D133" i="13"/>
  <c r="D134" i="13"/>
  <c r="D135" i="13"/>
  <c r="D136" i="13"/>
  <c r="D137" i="13"/>
  <c r="D138" i="13"/>
  <c r="D139" i="13"/>
  <c r="D140" i="13"/>
  <c r="D141" i="13"/>
  <c r="D142" i="13"/>
  <c r="D143" i="13"/>
  <c r="D144" i="13"/>
  <c r="D145" i="13"/>
  <c r="D146" i="13"/>
  <c r="D147" i="13"/>
  <c r="D148" i="13"/>
  <c r="D149" i="13"/>
  <c r="D150" i="13"/>
  <c r="D151" i="13"/>
  <c r="D152" i="13"/>
  <c r="D153" i="13"/>
  <c r="D154" i="13"/>
  <c r="D155" i="13"/>
  <c r="D156" i="13"/>
  <c r="D157" i="13"/>
  <c r="D158" i="13"/>
  <c r="D159" i="13"/>
  <c r="D160" i="13"/>
  <c r="D161" i="13"/>
  <c r="D162" i="13"/>
  <c r="D163" i="13"/>
  <c r="D164" i="13"/>
  <c r="D165" i="13"/>
  <c r="D166" i="13"/>
  <c r="D167" i="13"/>
  <c r="D168" i="13"/>
  <c r="D169" i="13"/>
  <c r="D170" i="13"/>
  <c r="D171" i="13"/>
  <c r="D172" i="13"/>
  <c r="D173" i="13"/>
  <c r="D174" i="13"/>
  <c r="D175" i="13"/>
  <c r="D176" i="13"/>
  <c r="D177" i="13"/>
  <c r="D178" i="13"/>
  <c r="D179" i="13"/>
  <c r="D180" i="13"/>
  <c r="D181" i="13"/>
  <c r="D182" i="13"/>
  <c r="D183" i="13"/>
  <c r="D184" i="13"/>
  <c r="D185" i="13"/>
  <c r="D186" i="13"/>
  <c r="D187" i="13"/>
  <c r="D188" i="13"/>
  <c r="D189" i="13"/>
  <c r="D190" i="13"/>
  <c r="D191" i="13"/>
  <c r="D192" i="13"/>
  <c r="D193" i="13"/>
  <c r="D194" i="13"/>
  <c r="D195" i="13"/>
  <c r="D196" i="13"/>
  <c r="D197" i="13"/>
  <c r="D198" i="13"/>
  <c r="D199" i="13"/>
  <c r="D200" i="13"/>
  <c r="D201" i="13"/>
  <c r="D202" i="13"/>
  <c r="D203" i="13"/>
  <c r="D204" i="13"/>
  <c r="D205" i="13"/>
  <c r="D206" i="13"/>
  <c r="D207" i="13"/>
  <c r="D208" i="13"/>
  <c r="D209" i="13"/>
  <c r="D210" i="13"/>
  <c r="D211" i="13"/>
  <c r="D212" i="13"/>
  <c r="D213" i="13"/>
  <c r="D214" i="13"/>
  <c r="D215" i="13"/>
  <c r="D216" i="13"/>
  <c r="D217" i="13"/>
  <c r="D218" i="13"/>
  <c r="D219" i="13"/>
  <c r="D220" i="13"/>
  <c r="D221" i="13"/>
  <c r="D222" i="13"/>
  <c r="D223" i="13"/>
  <c r="D224" i="13"/>
  <c r="D225" i="13"/>
  <c r="D226" i="13"/>
  <c r="D227" i="13"/>
  <c r="D228" i="13"/>
  <c r="D229" i="13"/>
  <c r="D230" i="13"/>
  <c r="D231" i="13"/>
  <c r="D232" i="13"/>
  <c r="D233" i="13"/>
  <c r="D234" i="13"/>
  <c r="D235" i="13"/>
  <c r="D236" i="13"/>
  <c r="D237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96" i="13"/>
  <c r="E97" i="13"/>
  <c r="E98" i="13"/>
  <c r="E99" i="13"/>
  <c r="E100" i="13"/>
  <c r="E101" i="13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121" i="13"/>
  <c r="E122" i="13"/>
  <c r="E123" i="13"/>
  <c r="E124" i="13"/>
  <c r="E125" i="13"/>
  <c r="E126" i="13"/>
  <c r="E127" i="13"/>
  <c r="E128" i="13"/>
  <c r="E129" i="13"/>
  <c r="E130" i="13"/>
  <c r="E131" i="13"/>
  <c r="E132" i="13"/>
  <c r="E133" i="13"/>
  <c r="E134" i="13"/>
  <c r="E135" i="13"/>
  <c r="E136" i="13"/>
  <c r="E137" i="13"/>
  <c r="E138" i="13"/>
  <c r="E139" i="13"/>
  <c r="E140" i="13"/>
  <c r="E141" i="13"/>
  <c r="E142" i="13"/>
  <c r="E143" i="13"/>
  <c r="E144" i="13"/>
  <c r="E145" i="13"/>
  <c r="E146" i="13"/>
  <c r="E147" i="13"/>
  <c r="E148" i="13"/>
  <c r="E149" i="13"/>
  <c r="E150" i="13"/>
  <c r="E151" i="13"/>
  <c r="E152" i="13"/>
  <c r="E153" i="13"/>
  <c r="E154" i="13"/>
  <c r="E155" i="13"/>
  <c r="E156" i="13"/>
  <c r="E157" i="13"/>
  <c r="E158" i="13"/>
  <c r="E159" i="13"/>
  <c r="E160" i="13"/>
  <c r="E161" i="13"/>
  <c r="E162" i="13"/>
  <c r="E163" i="13"/>
  <c r="E164" i="13"/>
  <c r="E165" i="13"/>
  <c r="E166" i="13"/>
  <c r="E167" i="13"/>
  <c r="E168" i="13"/>
  <c r="E169" i="13"/>
  <c r="E170" i="13"/>
  <c r="E171" i="13"/>
  <c r="E172" i="13"/>
  <c r="E173" i="13"/>
  <c r="E174" i="13"/>
  <c r="E175" i="13"/>
  <c r="E176" i="13"/>
  <c r="E177" i="13"/>
  <c r="E178" i="13"/>
  <c r="E179" i="13"/>
  <c r="E180" i="13"/>
  <c r="E181" i="13"/>
  <c r="E182" i="13"/>
  <c r="E183" i="13"/>
  <c r="E184" i="13"/>
  <c r="E185" i="13"/>
  <c r="E186" i="13"/>
  <c r="E187" i="13"/>
  <c r="E188" i="13"/>
  <c r="E189" i="13"/>
  <c r="E190" i="13"/>
  <c r="E191" i="13"/>
  <c r="E192" i="13"/>
  <c r="E193" i="13"/>
  <c r="E194" i="13"/>
  <c r="E195" i="13"/>
  <c r="E196" i="13"/>
  <c r="E197" i="13"/>
  <c r="E198" i="13"/>
  <c r="E199" i="13"/>
  <c r="E200" i="13"/>
  <c r="E201" i="13"/>
  <c r="E202" i="13"/>
  <c r="E203" i="13"/>
  <c r="E204" i="13"/>
  <c r="E205" i="13"/>
  <c r="E206" i="13"/>
  <c r="E207" i="13"/>
  <c r="E208" i="13"/>
  <c r="E209" i="13"/>
  <c r="E210" i="13"/>
  <c r="E211" i="13"/>
  <c r="E212" i="13"/>
  <c r="E213" i="13"/>
  <c r="E214" i="13"/>
  <c r="E215" i="13"/>
  <c r="E216" i="13"/>
  <c r="E217" i="13"/>
  <c r="E218" i="13"/>
  <c r="E219" i="13"/>
  <c r="E220" i="13"/>
  <c r="E221" i="13"/>
  <c r="E222" i="13"/>
  <c r="E223" i="13"/>
  <c r="E224" i="13"/>
  <c r="E225" i="13"/>
  <c r="E226" i="13"/>
  <c r="E227" i="13"/>
  <c r="E228" i="13"/>
  <c r="E229" i="13"/>
  <c r="E230" i="13"/>
  <c r="E231" i="13"/>
  <c r="E232" i="13"/>
  <c r="E233" i="13"/>
  <c r="E234" i="13"/>
  <c r="E235" i="13"/>
  <c r="E236" i="13"/>
  <c r="E237" i="13"/>
  <c r="E36" i="13"/>
  <c r="D33" i="13"/>
  <c r="E33" i="13"/>
  <c r="F33" i="13"/>
  <c r="G33" i="13"/>
  <c r="H33" i="13"/>
  <c r="I33" i="13"/>
  <c r="J33" i="13"/>
  <c r="K33" i="13"/>
  <c r="L33" i="13"/>
  <c r="M33" i="13"/>
  <c r="D34" i="13"/>
  <c r="E34" i="13"/>
  <c r="F34" i="13"/>
  <c r="G34" i="13"/>
  <c r="H34" i="13"/>
  <c r="I34" i="13"/>
  <c r="J34" i="13"/>
  <c r="K34" i="13"/>
  <c r="L34" i="13"/>
  <c r="M34" i="13"/>
  <c r="D35" i="13"/>
  <c r="E35" i="13"/>
  <c r="F35" i="13"/>
  <c r="G35" i="13"/>
  <c r="H35" i="13"/>
  <c r="I35" i="13"/>
  <c r="J35" i="13"/>
  <c r="K35" i="13"/>
  <c r="L35" i="13"/>
  <c r="M35" i="13"/>
  <c r="E32" i="13"/>
  <c r="F32" i="13"/>
  <c r="G32" i="13"/>
  <c r="H32" i="13"/>
  <c r="I32" i="13"/>
  <c r="J32" i="13"/>
  <c r="K32" i="13"/>
  <c r="L32" i="13"/>
  <c r="M32" i="13"/>
  <c r="D36" i="13"/>
  <c r="D32" i="13"/>
  <c r="K4" i="13" s="1"/>
  <c r="T34" i="13" l="1"/>
  <c r="U34" i="13"/>
  <c r="S34" i="13"/>
  <c r="T235" i="13"/>
  <c r="U235" i="13"/>
  <c r="S235" i="13"/>
  <c r="T227" i="13"/>
  <c r="U227" i="13"/>
  <c r="S227" i="13"/>
  <c r="T219" i="13"/>
  <c r="U219" i="13"/>
  <c r="S219" i="13"/>
  <c r="T211" i="13"/>
  <c r="U211" i="13"/>
  <c r="S211" i="13"/>
  <c r="T203" i="13"/>
  <c r="U203" i="13"/>
  <c r="S203" i="13"/>
  <c r="T195" i="13"/>
  <c r="U195" i="13"/>
  <c r="S195" i="13"/>
  <c r="T187" i="13"/>
  <c r="U187" i="13"/>
  <c r="S187" i="13"/>
  <c r="T179" i="13"/>
  <c r="U179" i="13"/>
  <c r="S179" i="13"/>
  <c r="T171" i="13"/>
  <c r="U171" i="13"/>
  <c r="S171" i="13"/>
  <c r="T163" i="13"/>
  <c r="U163" i="13"/>
  <c r="S163" i="13"/>
  <c r="T155" i="13"/>
  <c r="U155" i="13"/>
  <c r="S155" i="13"/>
  <c r="T147" i="13"/>
  <c r="U147" i="13"/>
  <c r="S147" i="13"/>
  <c r="T139" i="13"/>
  <c r="U139" i="13"/>
  <c r="S139" i="13"/>
  <c r="T131" i="13"/>
  <c r="U131" i="13"/>
  <c r="S131" i="13"/>
  <c r="T123" i="13"/>
  <c r="U123" i="13"/>
  <c r="S123" i="13"/>
  <c r="T115" i="13"/>
  <c r="U115" i="13"/>
  <c r="S115" i="13"/>
  <c r="T107" i="13"/>
  <c r="U107" i="13"/>
  <c r="S107" i="13"/>
  <c r="T99" i="13"/>
  <c r="U99" i="13"/>
  <c r="S99" i="13"/>
  <c r="T91" i="13"/>
  <c r="U91" i="13"/>
  <c r="S91" i="13"/>
  <c r="T83" i="13"/>
  <c r="U83" i="13"/>
  <c r="S83" i="13"/>
  <c r="T75" i="13"/>
  <c r="U75" i="13"/>
  <c r="S75" i="13"/>
  <c r="T67" i="13"/>
  <c r="U67" i="13"/>
  <c r="S67" i="13"/>
  <c r="T59" i="13"/>
  <c r="U59" i="13"/>
  <c r="S59" i="13"/>
  <c r="T51" i="13"/>
  <c r="U51" i="13"/>
  <c r="S51" i="13"/>
  <c r="T43" i="13"/>
  <c r="U43" i="13"/>
  <c r="S43" i="13"/>
  <c r="S234" i="13"/>
  <c r="U234" i="13"/>
  <c r="T234" i="13"/>
  <c r="S226" i="13"/>
  <c r="U226" i="13"/>
  <c r="T226" i="13"/>
  <c r="S218" i="13"/>
  <c r="U218" i="13"/>
  <c r="T218" i="13"/>
  <c r="S210" i="13"/>
  <c r="U210" i="13"/>
  <c r="T210" i="13"/>
  <c r="S202" i="13"/>
  <c r="U202" i="13"/>
  <c r="T202" i="13"/>
  <c r="S194" i="13"/>
  <c r="U194" i="13"/>
  <c r="T194" i="13"/>
  <c r="S186" i="13"/>
  <c r="U186" i="13"/>
  <c r="T186" i="13"/>
  <c r="S178" i="13"/>
  <c r="U178" i="13"/>
  <c r="T178" i="13"/>
  <c r="S170" i="13"/>
  <c r="U170" i="13"/>
  <c r="T170" i="13"/>
  <c r="S162" i="13"/>
  <c r="U162" i="13"/>
  <c r="T162" i="13"/>
  <c r="S154" i="13"/>
  <c r="U154" i="13"/>
  <c r="T154" i="13"/>
  <c r="S146" i="13"/>
  <c r="U146" i="13"/>
  <c r="T146" i="13"/>
  <c r="S138" i="13"/>
  <c r="U138" i="13"/>
  <c r="T138" i="13"/>
  <c r="S130" i="13"/>
  <c r="U130" i="13"/>
  <c r="T130" i="13"/>
  <c r="S122" i="13"/>
  <c r="U122" i="13"/>
  <c r="T122" i="13"/>
  <c r="S114" i="13"/>
  <c r="U114" i="13"/>
  <c r="T114" i="13"/>
  <c r="T106" i="13"/>
  <c r="S106" i="13"/>
  <c r="U106" i="13"/>
  <c r="T98" i="13"/>
  <c r="S98" i="13"/>
  <c r="U98" i="13"/>
  <c r="T90" i="13"/>
  <c r="S90" i="13"/>
  <c r="U90" i="13"/>
  <c r="T82" i="13"/>
  <c r="S82" i="13"/>
  <c r="U82" i="13"/>
  <c r="T74" i="13"/>
  <c r="S74" i="13"/>
  <c r="U74" i="13"/>
  <c r="S66" i="13"/>
  <c r="U66" i="13"/>
  <c r="T66" i="13"/>
  <c r="S58" i="13"/>
  <c r="U58" i="13"/>
  <c r="T58" i="13"/>
  <c r="T50" i="13"/>
  <c r="S50" i="13"/>
  <c r="U50" i="13"/>
  <c r="S42" i="13"/>
  <c r="T42" i="13"/>
  <c r="U42" i="13"/>
  <c r="U33" i="13"/>
  <c r="S33" i="13"/>
  <c r="T33" i="13"/>
  <c r="T233" i="13"/>
  <c r="S233" i="13"/>
  <c r="U233" i="13"/>
  <c r="T225" i="13"/>
  <c r="S225" i="13"/>
  <c r="U225" i="13"/>
  <c r="T217" i="13"/>
  <c r="S217" i="13"/>
  <c r="U217" i="13"/>
  <c r="T209" i="13"/>
  <c r="S209" i="13"/>
  <c r="U209" i="13"/>
  <c r="T201" i="13"/>
  <c r="S201" i="13"/>
  <c r="U201" i="13"/>
  <c r="T193" i="13"/>
  <c r="S193" i="13"/>
  <c r="U193" i="13"/>
  <c r="T185" i="13"/>
  <c r="S185" i="13"/>
  <c r="U185" i="13"/>
  <c r="T177" i="13"/>
  <c r="S177" i="13"/>
  <c r="U177" i="13"/>
  <c r="T169" i="13"/>
  <c r="S169" i="13"/>
  <c r="U169" i="13"/>
  <c r="T161" i="13"/>
  <c r="S161" i="13"/>
  <c r="U161" i="13"/>
  <c r="T153" i="13"/>
  <c r="S153" i="13"/>
  <c r="U153" i="13"/>
  <c r="T145" i="13"/>
  <c r="S145" i="13"/>
  <c r="U145" i="13"/>
  <c r="T137" i="13"/>
  <c r="S137" i="13"/>
  <c r="U137" i="13"/>
  <c r="T129" i="13"/>
  <c r="S129" i="13"/>
  <c r="U129" i="13"/>
  <c r="T121" i="13"/>
  <c r="S121" i="13"/>
  <c r="U121" i="13"/>
  <c r="T113" i="13"/>
  <c r="S113" i="13"/>
  <c r="U113" i="13"/>
  <c r="T105" i="13"/>
  <c r="S105" i="13"/>
  <c r="U105" i="13"/>
  <c r="T97" i="13"/>
  <c r="S97" i="13"/>
  <c r="U97" i="13"/>
  <c r="T89" i="13"/>
  <c r="S89" i="13"/>
  <c r="U89" i="13"/>
  <c r="T81" i="13"/>
  <c r="S81" i="13"/>
  <c r="U81" i="13"/>
  <c r="T73" i="13"/>
  <c r="S73" i="13"/>
  <c r="U73" i="13"/>
  <c r="T65" i="13"/>
  <c r="S65" i="13"/>
  <c r="U65" i="13"/>
  <c r="T57" i="13"/>
  <c r="S57" i="13"/>
  <c r="U57" i="13"/>
  <c r="T49" i="13"/>
  <c r="S49" i="13"/>
  <c r="U49" i="13"/>
  <c r="T41" i="13"/>
  <c r="S41" i="13"/>
  <c r="U41" i="13"/>
  <c r="U232" i="13"/>
  <c r="S232" i="13"/>
  <c r="T232" i="13"/>
  <c r="U224" i="13"/>
  <c r="S224" i="13"/>
  <c r="T224" i="13"/>
  <c r="U216" i="13"/>
  <c r="S216" i="13"/>
  <c r="T216" i="13"/>
  <c r="U208" i="13"/>
  <c r="T208" i="13"/>
  <c r="S208" i="13"/>
  <c r="U200" i="13"/>
  <c r="S200" i="13"/>
  <c r="T200" i="13"/>
  <c r="U192" i="13"/>
  <c r="S192" i="13"/>
  <c r="T192" i="13"/>
  <c r="U184" i="13"/>
  <c r="S184" i="13"/>
  <c r="T184" i="13"/>
  <c r="U176" i="13"/>
  <c r="T176" i="13"/>
  <c r="S176" i="13"/>
  <c r="U168" i="13"/>
  <c r="S168" i="13"/>
  <c r="T168" i="13"/>
  <c r="U160" i="13"/>
  <c r="S160" i="13"/>
  <c r="T160" i="13"/>
  <c r="U152" i="13"/>
  <c r="S152" i="13"/>
  <c r="T152" i="13"/>
  <c r="U144" i="13"/>
  <c r="S144" i="13"/>
  <c r="T144" i="13"/>
  <c r="U136" i="13"/>
  <c r="S136" i="13"/>
  <c r="T136" i="13"/>
  <c r="U128" i="13"/>
  <c r="T128" i="13"/>
  <c r="S128" i="13"/>
  <c r="U120" i="13"/>
  <c r="S120" i="13"/>
  <c r="T120" i="13"/>
  <c r="U112" i="13"/>
  <c r="S112" i="13"/>
  <c r="T112" i="13"/>
  <c r="U104" i="13"/>
  <c r="S104" i="13"/>
  <c r="T104" i="13"/>
  <c r="U96" i="13"/>
  <c r="S96" i="13"/>
  <c r="T96" i="13"/>
  <c r="U88" i="13"/>
  <c r="S88" i="13"/>
  <c r="T88" i="13"/>
  <c r="U80" i="13"/>
  <c r="T80" i="13"/>
  <c r="S80" i="13"/>
  <c r="U72" i="13"/>
  <c r="S72" i="13"/>
  <c r="T72" i="13"/>
  <c r="U64" i="13"/>
  <c r="S64" i="13"/>
  <c r="T64" i="13"/>
  <c r="U56" i="13"/>
  <c r="S56" i="13"/>
  <c r="T56" i="13"/>
  <c r="U48" i="13"/>
  <c r="S48" i="13"/>
  <c r="T48" i="13"/>
  <c r="U40" i="13"/>
  <c r="S40" i="13"/>
  <c r="T40" i="13"/>
  <c r="T231" i="13"/>
  <c r="U231" i="13"/>
  <c r="S231" i="13"/>
  <c r="T223" i="13"/>
  <c r="U223" i="13"/>
  <c r="S223" i="13"/>
  <c r="T215" i="13"/>
  <c r="U215" i="13"/>
  <c r="S215" i="13"/>
  <c r="T207" i="13"/>
  <c r="U207" i="13"/>
  <c r="S207" i="13"/>
  <c r="T199" i="13"/>
  <c r="U199" i="13"/>
  <c r="S199" i="13"/>
  <c r="T191" i="13"/>
  <c r="U191" i="13"/>
  <c r="S191" i="13"/>
  <c r="T183" i="13"/>
  <c r="U183" i="13"/>
  <c r="S183" i="13"/>
  <c r="T175" i="13"/>
  <c r="U175" i="13"/>
  <c r="S175" i="13"/>
  <c r="T167" i="13"/>
  <c r="U167" i="13"/>
  <c r="S167" i="13"/>
  <c r="T159" i="13"/>
  <c r="U159" i="13"/>
  <c r="S159" i="13"/>
  <c r="T151" i="13"/>
  <c r="U151" i="13"/>
  <c r="S151" i="13"/>
  <c r="T143" i="13"/>
  <c r="U143" i="13"/>
  <c r="S143" i="13"/>
  <c r="T135" i="13"/>
  <c r="U135" i="13"/>
  <c r="S135" i="13"/>
  <c r="T127" i="13"/>
  <c r="U127" i="13"/>
  <c r="S127" i="13"/>
  <c r="T119" i="13"/>
  <c r="U119" i="13"/>
  <c r="S119" i="13"/>
  <c r="T111" i="13"/>
  <c r="U111" i="13"/>
  <c r="S111" i="13"/>
  <c r="T103" i="13"/>
  <c r="U103" i="13"/>
  <c r="S103" i="13"/>
  <c r="T95" i="13"/>
  <c r="U95" i="13"/>
  <c r="S95" i="13"/>
  <c r="T87" i="13"/>
  <c r="U87" i="13"/>
  <c r="S87" i="13"/>
  <c r="T79" i="13"/>
  <c r="U79" i="13"/>
  <c r="S79" i="13"/>
  <c r="T71" i="13"/>
  <c r="U71" i="13"/>
  <c r="S71" i="13"/>
  <c r="T63" i="13"/>
  <c r="U63" i="13"/>
  <c r="S63" i="13"/>
  <c r="T55" i="13"/>
  <c r="U55" i="13"/>
  <c r="S55" i="13"/>
  <c r="T47" i="13"/>
  <c r="U47" i="13"/>
  <c r="S47" i="13"/>
  <c r="T39" i="13"/>
  <c r="U39" i="13"/>
  <c r="S39" i="13"/>
  <c r="U32" i="13"/>
  <c r="S32" i="13"/>
  <c r="T32" i="13"/>
  <c r="U230" i="13"/>
  <c r="S230" i="13"/>
  <c r="T230" i="13"/>
  <c r="U222" i="13"/>
  <c r="S222" i="13"/>
  <c r="T222" i="13"/>
  <c r="U214" i="13"/>
  <c r="S214" i="13"/>
  <c r="T214" i="13"/>
  <c r="U206" i="13"/>
  <c r="S206" i="13"/>
  <c r="T206" i="13"/>
  <c r="U198" i="13"/>
  <c r="S198" i="13"/>
  <c r="T198" i="13"/>
  <c r="U190" i="13"/>
  <c r="S190" i="13"/>
  <c r="T190" i="13"/>
  <c r="U182" i="13"/>
  <c r="S182" i="13"/>
  <c r="T182" i="13"/>
  <c r="U174" i="13"/>
  <c r="S174" i="13"/>
  <c r="T174" i="13"/>
  <c r="U166" i="13"/>
  <c r="S166" i="13"/>
  <c r="T166" i="13"/>
  <c r="U158" i="13"/>
  <c r="S158" i="13"/>
  <c r="T158" i="13"/>
  <c r="U150" i="13"/>
  <c r="S150" i="13"/>
  <c r="T150" i="13"/>
  <c r="U142" i="13"/>
  <c r="S142" i="13"/>
  <c r="T142" i="13"/>
  <c r="U134" i="13"/>
  <c r="S134" i="13"/>
  <c r="T134" i="13"/>
  <c r="U126" i="13"/>
  <c r="S126" i="13"/>
  <c r="T126" i="13"/>
  <c r="U118" i="13"/>
  <c r="S118" i="13"/>
  <c r="T118" i="13"/>
  <c r="T110" i="13"/>
  <c r="U110" i="13"/>
  <c r="S110" i="13"/>
  <c r="T102" i="13"/>
  <c r="U102" i="13"/>
  <c r="S102" i="13"/>
  <c r="T94" i="13"/>
  <c r="U94" i="13"/>
  <c r="S94" i="13"/>
  <c r="T86" i="13"/>
  <c r="U86" i="13"/>
  <c r="S86" i="13"/>
  <c r="T78" i="13"/>
  <c r="U78" i="13"/>
  <c r="S78" i="13"/>
  <c r="U70" i="13"/>
  <c r="S70" i="13"/>
  <c r="T70" i="13"/>
  <c r="U62" i="13"/>
  <c r="S62" i="13"/>
  <c r="T62" i="13"/>
  <c r="T54" i="13"/>
  <c r="U54" i="13"/>
  <c r="S54" i="13"/>
  <c r="U46" i="13"/>
  <c r="S46" i="13"/>
  <c r="T46" i="13"/>
  <c r="T38" i="13"/>
  <c r="U38" i="13"/>
  <c r="S38" i="13"/>
  <c r="U35" i="13"/>
  <c r="S35" i="13"/>
  <c r="T35" i="13"/>
  <c r="U36" i="13"/>
  <c r="S36" i="13"/>
  <c r="T36" i="13"/>
  <c r="T237" i="13"/>
  <c r="U237" i="13"/>
  <c r="S237" i="13"/>
  <c r="T229" i="13"/>
  <c r="U229" i="13"/>
  <c r="S229" i="13"/>
  <c r="T221" i="13"/>
  <c r="U221" i="13"/>
  <c r="S221" i="13"/>
  <c r="T213" i="13"/>
  <c r="U213" i="13"/>
  <c r="S213" i="13"/>
  <c r="T205" i="13"/>
  <c r="U205" i="13"/>
  <c r="S205" i="13"/>
  <c r="T197" i="13"/>
  <c r="U197" i="13"/>
  <c r="S197" i="13"/>
  <c r="T189" i="13"/>
  <c r="U189" i="13"/>
  <c r="S189" i="13"/>
  <c r="T181" i="13"/>
  <c r="U181" i="13"/>
  <c r="S181" i="13"/>
  <c r="T173" i="13"/>
  <c r="U173" i="13"/>
  <c r="S173" i="13"/>
  <c r="T165" i="13"/>
  <c r="U165" i="13"/>
  <c r="S165" i="13"/>
  <c r="T157" i="13"/>
  <c r="U157" i="13"/>
  <c r="S157" i="13"/>
  <c r="T149" i="13"/>
  <c r="U149" i="13"/>
  <c r="S149" i="13"/>
  <c r="T141" i="13"/>
  <c r="U141" i="13"/>
  <c r="S141" i="13"/>
  <c r="T133" i="13"/>
  <c r="U133" i="13"/>
  <c r="S133" i="13"/>
  <c r="T125" i="13"/>
  <c r="U125" i="13"/>
  <c r="S125" i="13"/>
  <c r="T117" i="13"/>
  <c r="U117" i="13"/>
  <c r="S117" i="13"/>
  <c r="T109" i="13"/>
  <c r="U109" i="13"/>
  <c r="S109" i="13"/>
  <c r="T101" i="13"/>
  <c r="U101" i="13"/>
  <c r="S101" i="13"/>
  <c r="T93" i="13"/>
  <c r="U93" i="13"/>
  <c r="S93" i="13"/>
  <c r="T85" i="13"/>
  <c r="U85" i="13"/>
  <c r="S85" i="13"/>
  <c r="T77" i="13"/>
  <c r="U77" i="13"/>
  <c r="S77" i="13"/>
  <c r="T69" i="13"/>
  <c r="U69" i="13"/>
  <c r="S69" i="13"/>
  <c r="T61" i="13"/>
  <c r="U61" i="13"/>
  <c r="S61" i="13"/>
  <c r="T53" i="13"/>
  <c r="U53" i="13"/>
  <c r="S53" i="13"/>
  <c r="T45" i="13"/>
  <c r="U45" i="13"/>
  <c r="S45" i="13"/>
  <c r="T37" i="13"/>
  <c r="U37" i="13"/>
  <c r="S37" i="13"/>
  <c r="U236" i="13"/>
  <c r="S236" i="13"/>
  <c r="T236" i="13"/>
  <c r="U228" i="13"/>
  <c r="S228" i="13"/>
  <c r="T228" i="13"/>
  <c r="U220" i="13"/>
  <c r="S220" i="13"/>
  <c r="T220" i="13"/>
  <c r="U212" i="13"/>
  <c r="S212" i="13"/>
  <c r="T212" i="13"/>
  <c r="U204" i="13"/>
  <c r="S204" i="13"/>
  <c r="T204" i="13"/>
  <c r="U196" i="13"/>
  <c r="S196" i="13"/>
  <c r="T196" i="13"/>
  <c r="U188" i="13"/>
  <c r="S188" i="13"/>
  <c r="T188" i="13"/>
  <c r="U180" i="13"/>
  <c r="S180" i="13"/>
  <c r="T180" i="13"/>
  <c r="U172" i="13"/>
  <c r="S172" i="13"/>
  <c r="T172" i="13"/>
  <c r="U164" i="13"/>
  <c r="S164" i="13"/>
  <c r="T164" i="13"/>
  <c r="U156" i="13"/>
  <c r="S156" i="13"/>
  <c r="T156" i="13"/>
  <c r="U148" i="13"/>
  <c r="S148" i="13"/>
  <c r="T148" i="13"/>
  <c r="U140" i="13"/>
  <c r="S140" i="13"/>
  <c r="T140" i="13"/>
  <c r="U132" i="13"/>
  <c r="S132" i="13"/>
  <c r="T132" i="13"/>
  <c r="U124" i="13"/>
  <c r="S124" i="13"/>
  <c r="T124" i="13"/>
  <c r="U116" i="13"/>
  <c r="S116" i="13"/>
  <c r="T116" i="13"/>
  <c r="U108" i="13"/>
  <c r="S108" i="13"/>
  <c r="T108" i="13"/>
  <c r="U100" i="13"/>
  <c r="S100" i="13"/>
  <c r="T100" i="13"/>
  <c r="U92" i="13"/>
  <c r="S92" i="13"/>
  <c r="T92" i="13"/>
  <c r="U84" i="13"/>
  <c r="S84" i="13"/>
  <c r="T84" i="13"/>
  <c r="U76" i="13"/>
  <c r="S76" i="13"/>
  <c r="T76" i="13"/>
  <c r="U68" i="13"/>
  <c r="S68" i="13"/>
  <c r="T68" i="13"/>
  <c r="U60" i="13"/>
  <c r="S60" i="13"/>
  <c r="T60" i="13"/>
  <c r="U52" i="13"/>
  <c r="S52" i="13"/>
  <c r="T52" i="13"/>
  <c r="U44" i="13"/>
  <c r="S44" i="13"/>
  <c r="T44" i="13"/>
  <c r="D4" i="13"/>
  <c r="J4" i="13"/>
  <c r="I4" i="13"/>
  <c r="H4" i="13"/>
  <c r="G4" i="13"/>
  <c r="F4" i="13"/>
  <c r="M4" i="13"/>
  <c r="E4" i="13"/>
  <c r="L4" i="13"/>
  <c r="E16" i="13"/>
  <c r="F16" i="13" s="1"/>
  <c r="G16" i="13" s="1"/>
  <c r="H16" i="13" s="1"/>
  <c r="I16" i="13" s="1"/>
  <c r="J16" i="13" s="1"/>
  <c r="K16" i="13" s="1"/>
  <c r="L16" i="13" s="1"/>
  <c r="M16" i="13" s="1"/>
  <c r="C5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75" i="13"/>
  <c r="C176" i="13"/>
  <c r="C177" i="13"/>
  <c r="C178" i="13"/>
  <c r="C179" i="13"/>
  <c r="C180" i="13"/>
  <c r="C181" i="13"/>
  <c r="C182" i="13"/>
  <c r="C183" i="13"/>
  <c r="C184" i="13"/>
  <c r="C185" i="13"/>
  <c r="C186" i="13"/>
  <c r="C187" i="13"/>
  <c r="C188" i="13"/>
  <c r="C189" i="13"/>
  <c r="C190" i="13"/>
  <c r="C191" i="13"/>
  <c r="C192" i="13"/>
  <c r="C193" i="13"/>
  <c r="C194" i="13"/>
  <c r="C195" i="13"/>
  <c r="C196" i="13"/>
  <c r="C197" i="13"/>
  <c r="C198" i="13"/>
  <c r="C199" i="13"/>
  <c r="C200" i="13"/>
  <c r="C201" i="13"/>
  <c r="C202" i="13"/>
  <c r="C203" i="13"/>
  <c r="C204" i="13"/>
  <c r="C205" i="13"/>
  <c r="C206" i="13"/>
  <c r="C207" i="13"/>
  <c r="C208" i="13"/>
  <c r="C209" i="13"/>
  <c r="C210" i="13"/>
  <c r="C211" i="13"/>
  <c r="C212" i="13"/>
  <c r="C213" i="13"/>
  <c r="C214" i="13"/>
  <c r="C215" i="13"/>
  <c r="C216" i="13"/>
  <c r="C217" i="13"/>
  <c r="C218" i="13"/>
  <c r="C219" i="13"/>
  <c r="C220" i="13"/>
  <c r="C221" i="13"/>
  <c r="C222" i="13"/>
  <c r="C223" i="13"/>
  <c r="C224" i="13"/>
  <c r="C225" i="13"/>
  <c r="C226" i="13"/>
  <c r="C227" i="13"/>
  <c r="C228" i="13"/>
  <c r="C229" i="13"/>
  <c r="C230" i="13"/>
  <c r="C231" i="13"/>
  <c r="C232" i="13"/>
  <c r="C233" i="13"/>
  <c r="C234" i="13"/>
  <c r="C235" i="13"/>
  <c r="C236" i="13"/>
  <c r="C237" i="13"/>
  <c r="C31" i="13"/>
  <c r="C32" i="13"/>
  <c r="D30" i="13"/>
  <c r="E30" i="13"/>
  <c r="F30" i="13"/>
  <c r="G30" i="13"/>
  <c r="H30" i="13"/>
  <c r="I30" i="13"/>
  <c r="J30" i="13"/>
  <c r="K30" i="13"/>
  <c r="L30" i="13"/>
  <c r="M30" i="13"/>
  <c r="C30" i="13"/>
  <c r="C1" i="9"/>
  <c r="D1" i="9" s="1"/>
  <c r="E1" i="9" s="1"/>
  <c r="F1" i="9" s="1"/>
  <c r="G1" i="9" s="1"/>
  <c r="H1" i="9" s="1"/>
  <c r="I1" i="9" s="1"/>
  <c r="J1" i="9" s="1"/>
  <c r="K1" i="9" s="1"/>
  <c r="G5" i="13" l="1"/>
  <c r="E5" i="13"/>
  <c r="H5" i="13"/>
  <c r="F5" i="13"/>
  <c r="I5" i="13"/>
  <c r="J5" i="13"/>
  <c r="K5" i="13"/>
  <c r="L5" i="13"/>
  <c r="M5" i="13"/>
  <c r="D5" i="13"/>
  <c r="C6" i="13"/>
  <c r="J1" i="13"/>
  <c r="F1" i="13"/>
  <c r="I1" i="13"/>
  <c r="E1" i="13"/>
  <c r="G2" i="13"/>
  <c r="L1" i="13"/>
  <c r="H1" i="13"/>
  <c r="D2" i="13"/>
  <c r="J2" i="13"/>
  <c r="F2" i="13"/>
  <c r="M1" i="13"/>
  <c r="K2" i="13"/>
  <c r="K1" i="13"/>
  <c r="G1" i="13"/>
  <c r="M2" i="13"/>
  <c r="I2" i="13"/>
  <c r="E2" i="13"/>
  <c r="D1" i="13"/>
  <c r="L2" i="13"/>
  <c r="H2" i="13"/>
  <c r="F6" i="13" l="1"/>
  <c r="G6" i="13"/>
  <c r="H6" i="13"/>
  <c r="I6" i="13"/>
  <c r="D6" i="13"/>
  <c r="J6" i="13"/>
  <c r="K6" i="13"/>
  <c r="L6" i="13"/>
  <c r="M6" i="13"/>
  <c r="E6" i="13"/>
  <c r="C7" i="13"/>
  <c r="F7" i="13" l="1"/>
  <c r="E7" i="13"/>
  <c r="G7" i="13"/>
  <c r="H7" i="13"/>
  <c r="I7" i="13"/>
  <c r="J7" i="13"/>
  <c r="D7" i="13"/>
  <c r="K7" i="13"/>
  <c r="L7" i="13"/>
  <c r="M7" i="13"/>
  <c r="C8" i="13"/>
  <c r="F8" i="13" l="1"/>
  <c r="G8" i="13"/>
  <c r="E8" i="13"/>
  <c r="H8" i="13"/>
  <c r="I8" i="13"/>
  <c r="J8" i="13"/>
  <c r="K8" i="13"/>
  <c r="D8" i="13"/>
  <c r="L8" i="13"/>
  <c r="M8" i="13"/>
  <c r="C9" i="13"/>
  <c r="F9" i="13" l="1"/>
  <c r="G9" i="13"/>
  <c r="H9" i="13"/>
  <c r="E9" i="13"/>
  <c r="I9" i="13"/>
  <c r="J9" i="13"/>
  <c r="K9" i="13"/>
  <c r="L9" i="13"/>
  <c r="D9" i="13"/>
  <c r="M9" i="13"/>
  <c r="C10" i="13"/>
  <c r="F10" i="13" l="1"/>
  <c r="G10" i="13"/>
  <c r="H10" i="13"/>
  <c r="I10" i="13"/>
  <c r="E10" i="13"/>
  <c r="J10" i="13"/>
  <c r="K10" i="13"/>
  <c r="L10" i="13"/>
  <c r="M10" i="13"/>
  <c r="D10" i="13"/>
  <c r="C11" i="13"/>
  <c r="F11" i="13" l="1"/>
  <c r="D11" i="13"/>
  <c r="G11" i="13"/>
  <c r="H11" i="13"/>
  <c r="I11" i="13"/>
  <c r="J11" i="13"/>
  <c r="E11" i="13"/>
  <c r="K11" i="13"/>
  <c r="L11" i="13"/>
  <c r="M11" i="13"/>
  <c r="C12" i="13"/>
  <c r="F12" i="13" l="1"/>
  <c r="G12" i="13"/>
  <c r="D12" i="13"/>
  <c r="H12" i="13"/>
  <c r="I12" i="13"/>
  <c r="J12" i="13"/>
  <c r="K12" i="13"/>
  <c r="E12" i="13"/>
  <c r="L12" i="13"/>
  <c r="M12" i="13"/>
  <c r="C13" i="13"/>
  <c r="F13" i="13" l="1"/>
  <c r="G13" i="13"/>
  <c r="H13" i="13"/>
  <c r="D13" i="13"/>
  <c r="I13" i="13"/>
  <c r="J13" i="13"/>
  <c r="K13" i="13"/>
  <c r="L13" i="13"/>
  <c r="E13" i="13"/>
  <c r="M13" i="13"/>
  <c r="C17" i="13" a="1"/>
  <c r="J17" i="13" l="1"/>
  <c r="G18" i="13"/>
  <c r="D19" i="13"/>
  <c r="L19" i="13"/>
  <c r="I20" i="13"/>
  <c r="F21" i="13"/>
  <c r="C22" i="13"/>
  <c r="K22" i="13"/>
  <c r="H23" i="13"/>
  <c r="E24" i="13"/>
  <c r="M24" i="13"/>
  <c r="J25" i="13"/>
  <c r="G26" i="13"/>
  <c r="C17" i="13"/>
  <c r="AA16" i="13" s="1"/>
  <c r="K17" i="13"/>
  <c r="H18" i="13"/>
  <c r="E19" i="13"/>
  <c r="M19" i="13"/>
  <c r="J20" i="13"/>
  <c r="G21" i="13"/>
  <c r="D22" i="13"/>
  <c r="L22" i="13"/>
  <c r="I23" i="13"/>
  <c r="F24" i="13"/>
  <c r="C25" i="13"/>
  <c r="K25" i="13"/>
  <c r="H26" i="13"/>
  <c r="D17" i="13"/>
  <c r="L17" i="13"/>
  <c r="F19" i="13"/>
  <c r="C20" i="13"/>
  <c r="K20" i="13"/>
  <c r="H21" i="13"/>
  <c r="E22" i="13"/>
  <c r="M22" i="13"/>
  <c r="J23" i="13"/>
  <c r="G24" i="13"/>
  <c r="D25" i="13"/>
  <c r="L25" i="13"/>
  <c r="I26" i="13"/>
  <c r="E17" i="13"/>
  <c r="M17" i="13"/>
  <c r="J18" i="13"/>
  <c r="D20" i="13"/>
  <c r="L20" i="13"/>
  <c r="I21" i="13"/>
  <c r="F22" i="13"/>
  <c r="C23" i="13"/>
  <c r="K23" i="13"/>
  <c r="H24" i="13"/>
  <c r="E25" i="13"/>
  <c r="J26" i="13"/>
  <c r="F17" i="13"/>
  <c r="Q32" i="13" s="1" a="1"/>
  <c r="K18" i="13"/>
  <c r="H19" i="13"/>
  <c r="M20" i="13"/>
  <c r="G22" i="13"/>
  <c r="L23" i="13"/>
  <c r="F25" i="13"/>
  <c r="G17" i="13"/>
  <c r="I19" i="13"/>
  <c r="F20" i="13"/>
  <c r="H22" i="13"/>
  <c r="M23" i="13"/>
  <c r="D26" i="13"/>
  <c r="H17" i="13"/>
  <c r="J19" i="13"/>
  <c r="I22" i="13"/>
  <c r="K24" i="13"/>
  <c r="I17" i="13"/>
  <c r="K19" i="13"/>
  <c r="E21" i="13"/>
  <c r="J22" i="13"/>
  <c r="D24" i="13"/>
  <c r="I25" i="13"/>
  <c r="I18" i="13"/>
  <c r="M25" i="13"/>
  <c r="C18" i="13"/>
  <c r="E20" i="13"/>
  <c r="J21" i="13"/>
  <c r="D23" i="13"/>
  <c r="I24" i="13"/>
  <c r="K26" i="13"/>
  <c r="D18" i="13"/>
  <c r="C21" i="13"/>
  <c r="E23" i="13"/>
  <c r="J24" i="13"/>
  <c r="L26" i="13"/>
  <c r="M18" i="13"/>
  <c r="D21" i="13"/>
  <c r="F23" i="13"/>
  <c r="H25" i="13"/>
  <c r="M26" i="13"/>
  <c r="F18" i="13"/>
  <c r="H20" i="13"/>
  <c r="M21" i="13"/>
  <c r="G23" i="13"/>
  <c r="L24" i="13"/>
  <c r="F26" i="13"/>
  <c r="G19" i="13"/>
  <c r="C26" i="13"/>
  <c r="L18" i="13"/>
  <c r="K21" i="13"/>
  <c r="G25" i="13"/>
  <c r="E18" i="13"/>
  <c r="G20" i="13"/>
  <c r="L21" i="13"/>
  <c r="C24" i="13"/>
  <c r="E26" i="13"/>
  <c r="C19" i="13"/>
  <c r="AB25" i="13" l="1"/>
  <c r="AB22" i="13"/>
  <c r="AB18" i="13"/>
  <c r="AB20" i="13"/>
  <c r="AB19" i="13"/>
  <c r="AB21" i="13"/>
  <c r="AB24" i="13"/>
  <c r="AB23" i="13"/>
  <c r="AB26" i="13"/>
  <c r="AB17" i="13"/>
  <c r="Q32" i="13"/>
  <c r="Q40" i="13"/>
  <c r="Q48" i="13"/>
  <c r="Q56" i="13"/>
  <c r="Q64" i="13"/>
  <c r="Q72" i="13"/>
  <c r="Q80" i="13"/>
  <c r="Q88" i="13"/>
  <c r="Q96" i="13"/>
  <c r="Q104" i="13"/>
  <c r="Q112" i="13"/>
  <c r="Q120" i="13"/>
  <c r="Q128" i="13"/>
  <c r="Q136" i="13"/>
  <c r="Q144" i="13"/>
  <c r="Q152" i="13"/>
  <c r="Q160" i="13"/>
  <c r="Q168" i="13"/>
  <c r="Q176" i="13"/>
  <c r="Q184" i="13"/>
  <c r="Q192" i="13"/>
  <c r="Q200" i="13"/>
  <c r="Q208" i="13"/>
  <c r="Q216" i="13"/>
  <c r="Q224" i="13"/>
  <c r="Q232" i="13"/>
  <c r="Q91" i="13"/>
  <c r="Q52" i="13"/>
  <c r="Q148" i="13"/>
  <c r="Q180" i="13"/>
  <c r="Q220" i="13"/>
  <c r="Q158" i="13"/>
  <c r="Q47" i="13"/>
  <c r="Q111" i="13"/>
  <c r="Q143" i="13"/>
  <c r="Q175" i="13"/>
  <c r="Q207" i="13"/>
  <c r="Q33" i="13"/>
  <c r="Q41" i="13"/>
  <c r="Q49" i="13"/>
  <c r="Q57" i="13"/>
  <c r="Q65" i="13"/>
  <c r="Q73" i="13"/>
  <c r="Q81" i="13"/>
  <c r="Q89" i="13"/>
  <c r="Q97" i="13"/>
  <c r="Q105" i="13"/>
  <c r="Q113" i="13"/>
  <c r="Q121" i="13"/>
  <c r="Q129" i="13"/>
  <c r="Q137" i="13"/>
  <c r="Q145" i="13"/>
  <c r="Q153" i="13"/>
  <c r="Q161" i="13"/>
  <c r="Q169" i="13"/>
  <c r="Q177" i="13"/>
  <c r="Q185" i="13"/>
  <c r="Q193" i="13"/>
  <c r="Q201" i="13"/>
  <c r="Q209" i="13"/>
  <c r="Q217" i="13"/>
  <c r="Q225" i="13"/>
  <c r="Q233" i="13"/>
  <c r="Q99" i="13"/>
  <c r="Q44" i="13"/>
  <c r="Q156" i="13"/>
  <c r="Q212" i="13"/>
  <c r="Q174" i="13"/>
  <c r="Q55" i="13"/>
  <c r="Q87" i="13"/>
  <c r="Q119" i="13"/>
  <c r="Q151" i="13"/>
  <c r="Q183" i="13"/>
  <c r="Q223" i="13"/>
  <c r="Q34" i="13"/>
  <c r="Q42" i="13"/>
  <c r="Q50" i="13"/>
  <c r="Q58" i="13"/>
  <c r="Q66" i="13"/>
  <c r="Q74" i="13"/>
  <c r="Q82" i="13"/>
  <c r="Q90" i="13"/>
  <c r="Q98" i="13"/>
  <c r="Q106" i="13"/>
  <c r="Q114" i="13"/>
  <c r="Q122" i="13"/>
  <c r="Q130" i="13"/>
  <c r="Q138" i="13"/>
  <c r="Q146" i="13"/>
  <c r="Q154" i="13"/>
  <c r="Q162" i="13"/>
  <c r="Q170" i="13"/>
  <c r="Q178" i="13"/>
  <c r="Q186" i="13"/>
  <c r="Q194" i="13"/>
  <c r="Q202" i="13"/>
  <c r="Q210" i="13"/>
  <c r="Q218" i="13"/>
  <c r="Q226" i="13"/>
  <c r="Q234" i="13"/>
  <c r="Q131" i="13"/>
  <c r="Q68" i="13"/>
  <c r="Q196" i="13"/>
  <c r="Q182" i="13"/>
  <c r="Q71" i="13"/>
  <c r="Q215" i="13"/>
  <c r="Q35" i="13"/>
  <c r="Q43" i="13"/>
  <c r="Q51" i="13"/>
  <c r="Q59" i="13"/>
  <c r="Q67" i="13"/>
  <c r="Q75" i="13"/>
  <c r="Q83" i="13"/>
  <c r="Q107" i="13"/>
  <c r="Q115" i="13"/>
  <c r="Q123" i="13"/>
  <c r="Q139" i="13"/>
  <c r="Q147" i="13"/>
  <c r="Q155" i="13"/>
  <c r="Q163" i="13"/>
  <c r="Q171" i="13"/>
  <c r="Q179" i="13"/>
  <c r="Q187" i="13"/>
  <c r="Q195" i="13"/>
  <c r="Q203" i="13"/>
  <c r="Q211" i="13"/>
  <c r="Q219" i="13"/>
  <c r="Q227" i="13"/>
  <c r="Q235" i="13"/>
  <c r="Q60" i="13"/>
  <c r="Q140" i="13"/>
  <c r="Q172" i="13"/>
  <c r="Q204" i="13"/>
  <c r="Q236" i="13"/>
  <c r="Q166" i="13"/>
  <c r="Q63" i="13"/>
  <c r="Q95" i="13"/>
  <c r="Q127" i="13"/>
  <c r="Q159" i="13"/>
  <c r="Q191" i="13"/>
  <c r="Q231" i="13"/>
  <c r="Q36" i="13"/>
  <c r="Q76" i="13"/>
  <c r="Q84" i="13"/>
  <c r="Q92" i="13"/>
  <c r="Q100" i="13"/>
  <c r="Q108" i="13"/>
  <c r="Q116" i="13"/>
  <c r="Q124" i="13"/>
  <c r="Q132" i="13"/>
  <c r="Q164" i="13"/>
  <c r="Q188" i="13"/>
  <c r="Q228" i="13"/>
  <c r="Q230" i="13"/>
  <c r="Q79" i="13"/>
  <c r="Q37" i="13"/>
  <c r="Q45" i="13"/>
  <c r="Q53" i="13"/>
  <c r="Q61" i="13"/>
  <c r="Q69" i="13"/>
  <c r="Q77" i="13"/>
  <c r="Q85" i="13"/>
  <c r="Q93" i="13"/>
  <c r="Q101" i="13"/>
  <c r="Q109" i="13"/>
  <c r="Q117" i="13"/>
  <c r="Q125" i="13"/>
  <c r="Q133" i="13"/>
  <c r="Q141" i="13"/>
  <c r="Q149" i="13"/>
  <c r="Q157" i="13"/>
  <c r="Q165" i="13"/>
  <c r="Q173" i="13"/>
  <c r="Q181" i="13"/>
  <c r="Q189" i="13"/>
  <c r="Q197" i="13"/>
  <c r="Q205" i="13"/>
  <c r="Q213" i="13"/>
  <c r="Q221" i="13"/>
  <c r="Q229" i="13"/>
  <c r="Q237" i="13"/>
  <c r="Q38" i="13"/>
  <c r="Q46" i="13"/>
  <c r="Q54" i="13"/>
  <c r="Q62" i="13"/>
  <c r="Q70" i="13"/>
  <c r="Q78" i="13"/>
  <c r="Q86" i="13"/>
  <c r="Q94" i="13"/>
  <c r="Q102" i="13"/>
  <c r="Q110" i="13"/>
  <c r="Q118" i="13"/>
  <c r="Q126" i="13"/>
  <c r="Q134" i="13"/>
  <c r="Q142" i="13"/>
  <c r="Q150" i="13"/>
  <c r="Q190" i="13"/>
  <c r="Q198" i="13"/>
  <c r="Q206" i="13"/>
  <c r="Q214" i="13"/>
  <c r="Q222" i="13"/>
  <c r="Q39" i="13"/>
  <c r="Q103" i="13"/>
  <c r="Q135" i="13"/>
  <c r="Q167" i="13"/>
  <c r="Q199" i="13"/>
  <c r="P32" i="13" a="1"/>
  <c r="P32" i="13" s="1"/>
  <c r="O32" i="13" a="1"/>
  <c r="O32" i="13" s="1"/>
  <c r="B25" i="13"/>
  <c r="B17" i="13"/>
  <c r="B20" i="13"/>
  <c r="B24" i="13"/>
  <c r="B23" i="13"/>
  <c r="B19" i="13"/>
  <c r="B18" i="13"/>
  <c r="B26" i="13"/>
  <c r="B22" i="13"/>
  <c r="B21" i="13"/>
  <c r="X33" i="13" l="1"/>
  <c r="Y33" i="13"/>
  <c r="Z33" i="13"/>
  <c r="Z38" i="13"/>
  <c r="P133" i="13"/>
  <c r="P68" i="13"/>
  <c r="P109" i="13"/>
  <c r="P51" i="13"/>
  <c r="P42" i="13"/>
  <c r="P216" i="13"/>
  <c r="P196" i="13"/>
  <c r="P135" i="13"/>
  <c r="P235" i="13"/>
  <c r="P107" i="13"/>
  <c r="P178" i="13"/>
  <c r="P233" i="13"/>
  <c r="P169" i="13"/>
  <c r="P105" i="13"/>
  <c r="P41" i="13"/>
  <c r="P87" i="13"/>
  <c r="P94" i="13"/>
  <c r="P208" i="13"/>
  <c r="P144" i="13"/>
  <c r="P80" i="13"/>
  <c r="P231" i="13"/>
  <c r="P229" i="13"/>
  <c r="P101" i="13"/>
  <c r="P188" i="13"/>
  <c r="P116" i="13"/>
  <c r="P52" i="13"/>
  <c r="P111" i="13"/>
  <c r="P142" i="13"/>
  <c r="P205" i="13"/>
  <c r="P85" i="13"/>
  <c r="P227" i="13"/>
  <c r="P163" i="13"/>
  <c r="P99" i="13"/>
  <c r="P35" i="13"/>
  <c r="P170" i="13"/>
  <c r="P98" i="13"/>
  <c r="P63" i="13"/>
  <c r="P225" i="13"/>
  <c r="P161" i="13"/>
  <c r="P97" i="13"/>
  <c r="P33" i="13"/>
  <c r="P71" i="13"/>
  <c r="P78" i="13"/>
  <c r="P200" i="13"/>
  <c r="P136" i="13"/>
  <c r="P72" i="13"/>
  <c r="P204" i="13"/>
  <c r="P182" i="13"/>
  <c r="P179" i="13"/>
  <c r="P114" i="13"/>
  <c r="P177" i="13"/>
  <c r="P49" i="13"/>
  <c r="P110" i="13"/>
  <c r="P88" i="13"/>
  <c r="P172" i="13"/>
  <c r="P118" i="13"/>
  <c r="P155" i="13"/>
  <c r="P162" i="13"/>
  <c r="P217" i="13"/>
  <c r="P89" i="13"/>
  <c r="P38" i="13"/>
  <c r="P192" i="13"/>
  <c r="P128" i="13"/>
  <c r="P183" i="13"/>
  <c r="P197" i="13"/>
  <c r="P236" i="13"/>
  <c r="P164" i="13"/>
  <c r="P100" i="13"/>
  <c r="P36" i="13"/>
  <c r="P79" i="13"/>
  <c r="P102" i="13"/>
  <c r="P173" i="13"/>
  <c r="P69" i="13"/>
  <c r="P211" i="13"/>
  <c r="P147" i="13"/>
  <c r="P83" i="13"/>
  <c r="P226" i="13"/>
  <c r="P154" i="13"/>
  <c r="P82" i="13"/>
  <c r="P198" i="13"/>
  <c r="P209" i="13"/>
  <c r="P145" i="13"/>
  <c r="P81" i="13"/>
  <c r="P191" i="13"/>
  <c r="P214" i="13"/>
  <c r="P218" i="13"/>
  <c r="P184" i="13"/>
  <c r="P120" i="13"/>
  <c r="P56" i="13"/>
  <c r="P124" i="13"/>
  <c r="P221" i="13"/>
  <c r="P171" i="13"/>
  <c r="P34" i="13"/>
  <c r="P207" i="13"/>
  <c r="P45" i="13"/>
  <c r="P95" i="13"/>
  <c r="P219" i="13"/>
  <c r="P90" i="13"/>
  <c r="P47" i="13"/>
  <c r="P159" i="13"/>
  <c r="P156" i="13"/>
  <c r="P215" i="13"/>
  <c r="P86" i="13"/>
  <c r="P61" i="13"/>
  <c r="P203" i="13"/>
  <c r="P139" i="13"/>
  <c r="P210" i="13"/>
  <c r="P146" i="13"/>
  <c r="P66" i="13"/>
  <c r="P166" i="13"/>
  <c r="P201" i="13"/>
  <c r="P137" i="13"/>
  <c r="P73" i="13"/>
  <c r="P167" i="13"/>
  <c r="P174" i="13"/>
  <c r="P74" i="13"/>
  <c r="P176" i="13"/>
  <c r="P112" i="13"/>
  <c r="P48" i="13"/>
  <c r="P132" i="13"/>
  <c r="P237" i="13"/>
  <c r="P180" i="13"/>
  <c r="P186" i="13"/>
  <c r="P130" i="13"/>
  <c r="P103" i="13"/>
  <c r="P152" i="13"/>
  <c r="P62" i="13"/>
  <c r="P60" i="13"/>
  <c r="P93" i="13"/>
  <c r="P106" i="13"/>
  <c r="P213" i="13"/>
  <c r="P44" i="13"/>
  <c r="P189" i="13"/>
  <c r="P91" i="13"/>
  <c r="P222" i="13"/>
  <c r="P153" i="13"/>
  <c r="P64" i="13"/>
  <c r="P190" i="13"/>
  <c r="P151" i="13"/>
  <c r="P115" i="13"/>
  <c r="P113" i="13"/>
  <c r="P117" i="13"/>
  <c r="P158" i="13"/>
  <c r="P43" i="13"/>
  <c r="P108" i="13"/>
  <c r="P77" i="13"/>
  <c r="P234" i="13"/>
  <c r="P223" i="13"/>
  <c r="P181" i="13"/>
  <c r="P228" i="13"/>
  <c r="P92" i="13"/>
  <c r="P39" i="13"/>
  <c r="P157" i="13"/>
  <c r="P75" i="13"/>
  <c r="P127" i="13"/>
  <c r="P165" i="13"/>
  <c r="P220" i="13"/>
  <c r="P148" i="13"/>
  <c r="P84" i="13"/>
  <c r="P199" i="13"/>
  <c r="P230" i="13"/>
  <c r="P70" i="13"/>
  <c r="P141" i="13"/>
  <c r="P53" i="13"/>
  <c r="P195" i="13"/>
  <c r="P131" i="13"/>
  <c r="P67" i="13"/>
  <c r="P202" i="13"/>
  <c r="P138" i="13"/>
  <c r="P58" i="13"/>
  <c r="P126" i="13"/>
  <c r="P193" i="13"/>
  <c r="P129" i="13"/>
  <c r="P65" i="13"/>
  <c r="P143" i="13"/>
  <c r="P150" i="13"/>
  <c r="P232" i="13"/>
  <c r="P168" i="13"/>
  <c r="P104" i="13"/>
  <c r="P40" i="13"/>
  <c r="P55" i="13"/>
  <c r="P149" i="13"/>
  <c r="P212" i="13"/>
  <c r="P140" i="13"/>
  <c r="P76" i="13"/>
  <c r="P175" i="13"/>
  <c r="P206" i="13"/>
  <c r="P54" i="13"/>
  <c r="P125" i="13"/>
  <c r="P37" i="13"/>
  <c r="P187" i="13"/>
  <c r="P123" i="13"/>
  <c r="P59" i="13"/>
  <c r="P194" i="13"/>
  <c r="P122" i="13"/>
  <c r="P50" i="13"/>
  <c r="P46" i="13"/>
  <c r="P185" i="13"/>
  <c r="P121" i="13"/>
  <c r="P57" i="13"/>
  <c r="P119" i="13"/>
  <c r="P134" i="13"/>
  <c r="P224" i="13"/>
  <c r="P160" i="13"/>
  <c r="P96" i="13"/>
  <c r="O39" i="13"/>
  <c r="O209" i="13"/>
  <c r="O237" i="13"/>
  <c r="O145" i="13"/>
  <c r="O190" i="13"/>
  <c r="O172" i="13"/>
  <c r="O167" i="13"/>
  <c r="O108" i="13"/>
  <c r="O154" i="13"/>
  <c r="O158" i="13"/>
  <c r="O37" i="13"/>
  <c r="O223" i="13"/>
  <c r="O216" i="13"/>
  <c r="O179" i="13"/>
  <c r="O54" i="13"/>
  <c r="O115" i="13"/>
  <c r="O51" i="13"/>
  <c r="O236" i="13"/>
  <c r="O81" i="13"/>
  <c r="O218" i="13"/>
  <c r="O44" i="13"/>
  <c r="O90" i="13"/>
  <c r="O141" i="13"/>
  <c r="O220" i="13"/>
  <c r="O150" i="13"/>
  <c r="O152" i="13"/>
  <c r="O92" i="13"/>
  <c r="O72" i="13"/>
  <c r="O206" i="13"/>
  <c r="O228" i="13"/>
  <c r="O36" i="13"/>
  <c r="O107" i="13"/>
  <c r="O146" i="13"/>
  <c r="O199" i="13"/>
  <c r="O137" i="13"/>
  <c r="O126" i="13"/>
  <c r="O125" i="13"/>
  <c r="O144" i="13"/>
  <c r="O191" i="13"/>
  <c r="O136" i="13"/>
  <c r="O197" i="13"/>
  <c r="O100" i="13"/>
  <c r="O171" i="13"/>
  <c r="O210" i="13"/>
  <c r="O221" i="13"/>
  <c r="O73" i="13"/>
  <c r="O80" i="13"/>
  <c r="O215" i="13"/>
  <c r="O165" i="13"/>
  <c r="O227" i="13"/>
  <c r="O99" i="13"/>
  <c r="O118" i="13"/>
  <c r="O74" i="13"/>
  <c r="O111" i="13"/>
  <c r="O175" i="13"/>
  <c r="O133" i="13"/>
  <c r="O212" i="13"/>
  <c r="O84" i="13"/>
  <c r="O219" i="13"/>
  <c r="O91" i="13"/>
  <c r="O62" i="13"/>
  <c r="O130" i="13"/>
  <c r="O66" i="13"/>
  <c r="O149" i="13"/>
  <c r="O121" i="13"/>
  <c r="O57" i="13"/>
  <c r="O95" i="13"/>
  <c r="O86" i="13"/>
  <c r="O93" i="13"/>
  <c r="O192" i="13"/>
  <c r="O64" i="13"/>
  <c r="O110" i="13"/>
  <c r="O204" i="13"/>
  <c r="O76" i="13"/>
  <c r="O83" i="13"/>
  <c r="O127" i="13"/>
  <c r="O101" i="13"/>
  <c r="O132" i="13"/>
  <c r="O70" i="13"/>
  <c r="O139" i="13"/>
  <c r="O75" i="13"/>
  <c r="O69" i="13"/>
  <c r="O178" i="13"/>
  <c r="O114" i="13"/>
  <c r="O50" i="13"/>
  <c r="O214" i="13"/>
  <c r="O233" i="13"/>
  <c r="O105" i="13"/>
  <c r="O41" i="13"/>
  <c r="O47" i="13"/>
  <c r="O229" i="13"/>
  <c r="O61" i="13"/>
  <c r="O176" i="13"/>
  <c r="O112" i="13"/>
  <c r="O48" i="13"/>
  <c r="O103" i="13"/>
  <c r="O78" i="13"/>
  <c r="O85" i="13"/>
  <c r="O188" i="13"/>
  <c r="O124" i="13"/>
  <c r="O60" i="13"/>
  <c r="O213" i="13"/>
  <c r="O195" i="13"/>
  <c r="O131" i="13"/>
  <c r="O67" i="13"/>
  <c r="O63" i="13"/>
  <c r="O234" i="13"/>
  <c r="O170" i="13"/>
  <c r="O106" i="13"/>
  <c r="O42" i="13"/>
  <c r="O174" i="13"/>
  <c r="O225" i="13"/>
  <c r="O161" i="13"/>
  <c r="O97" i="13"/>
  <c r="O33" i="13"/>
  <c r="O230" i="13"/>
  <c r="O205" i="13"/>
  <c r="O232" i="13"/>
  <c r="O168" i="13"/>
  <c r="O104" i="13"/>
  <c r="O40" i="13"/>
  <c r="O88" i="13"/>
  <c r="O164" i="13"/>
  <c r="O235" i="13"/>
  <c r="O43" i="13"/>
  <c r="O82" i="13"/>
  <c r="O201" i="13"/>
  <c r="O135" i="13"/>
  <c r="O208" i="13"/>
  <c r="O166" i="13"/>
  <c r="O156" i="13"/>
  <c r="O163" i="13"/>
  <c r="O35" i="13"/>
  <c r="O202" i="13"/>
  <c r="O138" i="13"/>
  <c r="O159" i="13"/>
  <c r="O189" i="13"/>
  <c r="O193" i="13"/>
  <c r="O129" i="13"/>
  <c r="O65" i="13"/>
  <c r="O102" i="13"/>
  <c r="O109" i="13"/>
  <c r="O200" i="13"/>
  <c r="O142" i="13"/>
  <c r="O148" i="13"/>
  <c r="O71" i="13"/>
  <c r="O155" i="13"/>
  <c r="O231" i="13"/>
  <c r="O194" i="13"/>
  <c r="O119" i="13"/>
  <c r="O185" i="13"/>
  <c r="O128" i="13"/>
  <c r="O151" i="13"/>
  <c r="O117" i="13"/>
  <c r="O140" i="13"/>
  <c r="O182" i="13"/>
  <c r="O211" i="13"/>
  <c r="O147" i="13"/>
  <c r="O183" i="13"/>
  <c r="O181" i="13"/>
  <c r="O186" i="13"/>
  <c r="O122" i="13"/>
  <c r="O58" i="13"/>
  <c r="O55" i="13"/>
  <c r="O53" i="13"/>
  <c r="O177" i="13"/>
  <c r="O113" i="13"/>
  <c r="O49" i="13"/>
  <c r="O79" i="13"/>
  <c r="O38" i="13"/>
  <c r="O77" i="13"/>
  <c r="O184" i="13"/>
  <c r="O120" i="13"/>
  <c r="O56" i="13"/>
  <c r="O94" i="13"/>
  <c r="O196" i="13"/>
  <c r="O68" i="13"/>
  <c r="O203" i="13"/>
  <c r="O143" i="13"/>
  <c r="O169" i="13"/>
  <c r="O87" i="13"/>
  <c r="O46" i="13"/>
  <c r="O45" i="13"/>
  <c r="O180" i="13"/>
  <c r="O116" i="13"/>
  <c r="O52" i="13"/>
  <c r="O157" i="13"/>
  <c r="O187" i="13"/>
  <c r="O123" i="13"/>
  <c r="O59" i="13"/>
  <c r="O222" i="13"/>
  <c r="O226" i="13"/>
  <c r="O162" i="13"/>
  <c r="O98" i="13"/>
  <c r="O34" i="13"/>
  <c r="O134" i="13"/>
  <c r="O217" i="13"/>
  <c r="O153" i="13"/>
  <c r="O89" i="13"/>
  <c r="O207" i="13"/>
  <c r="O198" i="13"/>
  <c r="O173" i="13"/>
  <c r="O224" i="13"/>
  <c r="O160" i="13"/>
  <c r="O96" i="13"/>
  <c r="Q29" i="13"/>
  <c r="Y32" i="13" l="1"/>
  <c r="Z32" i="13"/>
  <c r="X32" i="13"/>
  <c r="X31" i="13"/>
  <c r="Z31" i="13"/>
  <c r="Y31" i="13"/>
  <c r="Z36" i="13"/>
  <c r="Y37" i="13"/>
  <c r="Y38" i="13"/>
  <c r="X38" i="13"/>
  <c r="Y36" i="13"/>
  <c r="Z37" i="13"/>
  <c r="X37" i="13"/>
  <c r="X36" i="13"/>
  <c r="P29" i="13"/>
  <c r="O29" i="13"/>
</calcChain>
</file>

<file path=xl/sharedStrings.xml><?xml version="1.0" encoding="utf-8"?>
<sst xmlns="http://schemas.openxmlformats.org/spreadsheetml/2006/main" count="58" uniqueCount="32">
  <si>
    <t>Date</t>
  </si>
  <si>
    <t>ICERATESUSD1Y</t>
  </si>
  <si>
    <t>ICERATESUSD2Y</t>
  </si>
  <si>
    <t>ICERATESUSD3Y</t>
  </si>
  <si>
    <t>ICERATESUSD4Y</t>
  </si>
  <si>
    <t>ICERATESUSD5Y</t>
  </si>
  <si>
    <t>ICERATESUSD6Y</t>
  </si>
  <si>
    <t>ICERATESUSD7Y</t>
  </si>
  <si>
    <t>ICERATESUSD8Y</t>
  </si>
  <si>
    <t>ICERATESUSD9Y</t>
  </si>
  <si>
    <t>ICERATESUSD10Y</t>
  </si>
  <si>
    <t>mean</t>
  </si>
  <si>
    <t>stdev</t>
  </si>
  <si>
    <t>Covariance</t>
  </si>
  <si>
    <t>Explained variance</t>
  </si>
  <si>
    <t>PCs</t>
  </si>
  <si>
    <t>Level</t>
  </si>
  <si>
    <t>Slope</t>
  </si>
  <si>
    <t>Hump</t>
  </si>
  <si>
    <t>cumulative %</t>
  </si>
  <si>
    <t>Poorman's "PCA"</t>
  </si>
  <si>
    <t>level</t>
  </si>
  <si>
    <t>slope</t>
  </si>
  <si>
    <t>hump</t>
  </si>
  <si>
    <t>Correlation</t>
  </si>
  <si>
    <t>PCA</t>
  </si>
  <si>
    <t>Poorman's PCA</t>
  </si>
  <si>
    <t>Correlation PCA</t>
  </si>
  <si>
    <t>Correlation Poorman's PCA</t>
  </si>
  <si>
    <t>level change</t>
  </si>
  <si>
    <t>1 sigma</t>
  </si>
  <si>
    <t>stdev check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</si>
</sst>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0.0"/>
    <numFmt numFmtId="165" formatCode="mm/dd/yyyy"/>
    <numFmt numFmtId="166" formatCode="0.0000"/>
    <numFmt numFmtId="167" formatCode="0.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2">
    <xf numFmtId="0" fontId="0" fillId="0" borderId="0" xfId="0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1" applyNumberFormat="1" applyFont="1"/>
    <xf numFmtId="166" fontId="0" fillId="0" borderId="0" xfId="0" applyNumberFormat="1"/>
    <xf numFmtId="10" fontId="0" fillId="0" borderId="0" xfId="2" applyNumberFormat="1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2" borderId="4" xfId="0" applyFill="1" applyBorder="1"/>
    <xf numFmtId="0" fontId="2" fillId="0" borderId="0" xfId="0" applyFont="1"/>
    <xf numFmtId="0" fontId="2" fillId="4" borderId="7" xfId="0" applyFont="1" applyFill="1" applyBorder="1"/>
    <xf numFmtId="0" fontId="2" fillId="0" borderId="8" xfId="0" applyFont="1" applyBorder="1"/>
    <xf numFmtId="14" fontId="0" fillId="5" borderId="8" xfId="0" applyNumberFormat="1" applyFill="1" applyBorder="1"/>
    <xf numFmtId="14" fontId="0" fillId="5" borderId="9" xfId="0" applyNumberFormat="1" applyFill="1" applyBorder="1"/>
    <xf numFmtId="14" fontId="0" fillId="5" borderId="10" xfId="0" applyNumberFormat="1" applyFill="1" applyBorder="1"/>
    <xf numFmtId="14" fontId="0" fillId="5" borderId="11" xfId="0" applyNumberFormat="1" applyFill="1" applyBorder="1"/>
    <xf numFmtId="14" fontId="0" fillId="5" borderId="0" xfId="0" applyNumberFormat="1" applyFill="1" applyBorder="1"/>
    <xf numFmtId="0" fontId="0" fillId="5" borderId="0" xfId="0" applyFill="1" applyBorder="1"/>
    <xf numFmtId="0" fontId="0" fillId="5" borderId="12" xfId="0" applyFill="1" applyBorder="1"/>
    <xf numFmtId="166" fontId="0" fillId="5" borderId="0" xfId="1" applyNumberFormat="1" applyFont="1" applyFill="1" applyBorder="1"/>
    <xf numFmtId="14" fontId="0" fillId="5" borderId="13" xfId="0" applyNumberFormat="1" applyFill="1" applyBorder="1"/>
    <xf numFmtId="0" fontId="0" fillId="3" borderId="0" xfId="0" applyFill="1"/>
    <xf numFmtId="0" fontId="0" fillId="3" borderId="5" xfId="0" applyFill="1" applyBorder="1"/>
    <xf numFmtId="0" fontId="0" fillId="3" borderId="6" xfId="0" applyFill="1" applyBorder="1"/>
    <xf numFmtId="166" fontId="0" fillId="3" borderId="0" xfId="1" applyNumberFormat="1" applyFont="1" applyFill="1" applyBorder="1"/>
    <xf numFmtId="166" fontId="0" fillId="3" borderId="0" xfId="0" applyNumberFormat="1" applyFill="1"/>
    <xf numFmtId="0" fontId="2" fillId="3" borderId="11" xfId="0" applyFont="1" applyFill="1" applyBorder="1"/>
    <xf numFmtId="0" fontId="2" fillId="3" borderId="13" xfId="0" applyFont="1" applyFill="1" applyBorder="1"/>
    <xf numFmtId="167" fontId="0" fillId="0" borderId="0" xfId="0" applyNumberFormat="1"/>
    <xf numFmtId="167" fontId="0" fillId="3" borderId="0" xfId="0" applyNumberFormat="1" applyFill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'Clean Swap Data'!$B$2</c:f>
              <c:strCache>
                <c:ptCount val="1"/>
                <c:pt idx="0">
                  <c:v>ICERATESUSD1Y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'Clean Swap Data'!$B$3:$B$210</c:f>
              <c:numCache>
                <c:formatCode>0.000</c:formatCode>
                <c:ptCount val="208"/>
                <c:pt idx="0">
                  <c:v>2.4209999999999998</c:v>
                </c:pt>
                <c:pt idx="1">
                  <c:v>2.42</c:v>
                </c:pt>
                <c:pt idx="2">
                  <c:v>2.4279999999999999</c:v>
                </c:pt>
                <c:pt idx="3">
                  <c:v>2.391</c:v>
                </c:pt>
                <c:pt idx="4">
                  <c:v>2.4239999999999999</c:v>
                </c:pt>
                <c:pt idx="5">
                  <c:v>2.407</c:v>
                </c:pt>
                <c:pt idx="6">
                  <c:v>2.4329999999999998</c:v>
                </c:pt>
                <c:pt idx="7">
                  <c:v>2.4390000000000001</c:v>
                </c:pt>
                <c:pt idx="8">
                  <c:v>2.452</c:v>
                </c:pt>
                <c:pt idx="9">
                  <c:v>2.4380000000000002</c:v>
                </c:pt>
                <c:pt idx="10">
                  <c:v>2.4380000000000002</c:v>
                </c:pt>
                <c:pt idx="11">
                  <c:v>2.4500000000000002</c:v>
                </c:pt>
                <c:pt idx="12">
                  <c:v>2.4950000000000001</c:v>
                </c:pt>
                <c:pt idx="13">
                  <c:v>2.5089999999999999</c:v>
                </c:pt>
                <c:pt idx="14">
                  <c:v>2.5089999999999999</c:v>
                </c:pt>
                <c:pt idx="15">
                  <c:v>2.5099999999999998</c:v>
                </c:pt>
                <c:pt idx="16">
                  <c:v>2.5310000000000001</c:v>
                </c:pt>
                <c:pt idx="17">
                  <c:v>2.5329999999999999</c:v>
                </c:pt>
                <c:pt idx="18">
                  <c:v>2.5430000000000001</c:v>
                </c:pt>
                <c:pt idx="19">
                  <c:v>2.544</c:v>
                </c:pt>
                <c:pt idx="20">
                  <c:v>2.56</c:v>
                </c:pt>
                <c:pt idx="21">
                  <c:v>2.5470000000000002</c:v>
                </c:pt>
                <c:pt idx="22">
                  <c:v>2.5379999999999998</c:v>
                </c:pt>
                <c:pt idx="23" formatCode="General">
                  <c:v>2.5499999999999998</c:v>
                </c:pt>
                <c:pt idx="24" formatCode="General">
                  <c:v>2.5529999999999999</c:v>
                </c:pt>
                <c:pt idx="25" formatCode="General">
                  <c:v>2.5630000000000002</c:v>
                </c:pt>
                <c:pt idx="26" formatCode="General">
                  <c:v>2.556</c:v>
                </c:pt>
                <c:pt idx="27" formatCode="General">
                  <c:v>2.5710000000000002</c:v>
                </c:pt>
                <c:pt idx="28" formatCode="General">
                  <c:v>2.573</c:v>
                </c:pt>
                <c:pt idx="29" formatCode="General">
                  <c:v>2.5680000000000001</c:v>
                </c:pt>
                <c:pt idx="30" formatCode="General">
                  <c:v>2.573</c:v>
                </c:pt>
                <c:pt idx="31" formatCode="General">
                  <c:v>2.569</c:v>
                </c:pt>
                <c:pt idx="32" formatCode="General">
                  <c:v>2.5430000000000001</c:v>
                </c:pt>
                <c:pt idx="33" formatCode="General">
                  <c:v>2.5350000000000001</c:v>
                </c:pt>
                <c:pt idx="34" formatCode="General">
                  <c:v>2.552</c:v>
                </c:pt>
                <c:pt idx="35" formatCode="General">
                  <c:v>2.5680000000000001</c:v>
                </c:pt>
                <c:pt idx="36" formatCode="General">
                  <c:v>2.57</c:v>
                </c:pt>
                <c:pt idx="37" formatCode="General">
                  <c:v>2.56</c:v>
                </c:pt>
                <c:pt idx="38" formatCode="General">
                  <c:v>2.5710000000000002</c:v>
                </c:pt>
                <c:pt idx="39" formatCode="General">
                  <c:v>2.573</c:v>
                </c:pt>
                <c:pt idx="40" formatCode="General">
                  <c:v>2.5329999999999999</c:v>
                </c:pt>
                <c:pt idx="41" formatCode="General">
                  <c:v>2.52</c:v>
                </c:pt>
                <c:pt idx="42" formatCode="General">
                  <c:v>2.4849999999999999</c:v>
                </c:pt>
                <c:pt idx="43" formatCode="General">
                  <c:v>2.57</c:v>
                </c:pt>
                <c:pt idx="44" formatCode="General">
                  <c:v>2.5640000000000001</c:v>
                </c:pt>
                <c:pt idx="45" formatCode="General">
                  <c:v>2.5840000000000001</c:v>
                </c:pt>
                <c:pt idx="46" formatCode="General">
                  <c:v>2.5979999999999999</c:v>
                </c:pt>
                <c:pt idx="47" formatCode="General">
                  <c:v>2.6040000000000001</c:v>
                </c:pt>
                <c:pt idx="48" formatCode="General">
                  <c:v>2.6019999999999999</c:v>
                </c:pt>
                <c:pt idx="49" formatCode="General">
                  <c:v>2.6139999999999999</c:v>
                </c:pt>
                <c:pt idx="50" formatCode="General">
                  <c:v>2.6080000000000001</c:v>
                </c:pt>
                <c:pt idx="51" formatCode="General">
                  <c:v>2.613</c:v>
                </c:pt>
                <c:pt idx="52" formatCode="General">
                  <c:v>2.6</c:v>
                </c:pt>
                <c:pt idx="53" formatCode="General">
                  <c:v>2.6030000000000002</c:v>
                </c:pt>
                <c:pt idx="54" formatCode="General">
                  <c:v>2.601</c:v>
                </c:pt>
                <c:pt idx="55" formatCode="General">
                  <c:v>2.6040000000000001</c:v>
                </c:pt>
                <c:pt idx="56" formatCode="General">
                  <c:v>2.617</c:v>
                </c:pt>
                <c:pt idx="57" formatCode="General">
                  <c:v>2.6059999999999999</c:v>
                </c:pt>
                <c:pt idx="58" formatCode="General">
                  <c:v>2.6280000000000001</c:v>
                </c:pt>
                <c:pt idx="59" formatCode="General">
                  <c:v>2.6150000000000002</c:v>
                </c:pt>
                <c:pt idx="60" formatCode="General">
                  <c:v>2.6259999999999999</c:v>
                </c:pt>
                <c:pt idx="61" formatCode="General">
                  <c:v>2.6389999999999998</c:v>
                </c:pt>
                <c:pt idx="62" formatCode="General">
                  <c:v>2.629</c:v>
                </c:pt>
                <c:pt idx="63" formatCode="General">
                  <c:v>2.6429999999999998</c:v>
                </c:pt>
                <c:pt idx="64" formatCode="General">
                  <c:v>2.633</c:v>
                </c:pt>
                <c:pt idx="65" formatCode="General">
                  <c:v>2.641</c:v>
                </c:pt>
                <c:pt idx="66" formatCode="General">
                  <c:v>2.6509999999999998</c:v>
                </c:pt>
                <c:pt idx="67" formatCode="General">
                  <c:v>2.6549999999999998</c:v>
                </c:pt>
                <c:pt idx="68" formatCode="General">
                  <c:v>2.645</c:v>
                </c:pt>
                <c:pt idx="69" formatCode="General">
                  <c:v>2.6440000000000001</c:v>
                </c:pt>
                <c:pt idx="70" formatCode="General">
                  <c:v>2.653</c:v>
                </c:pt>
                <c:pt idx="71" formatCode="General">
                  <c:v>2.649</c:v>
                </c:pt>
                <c:pt idx="72" formatCode="General">
                  <c:v>2.65</c:v>
                </c:pt>
                <c:pt idx="73" formatCode="General">
                  <c:v>2.665</c:v>
                </c:pt>
                <c:pt idx="74" formatCode="General">
                  <c:v>2.6709999999999998</c:v>
                </c:pt>
                <c:pt idx="75" formatCode="General">
                  <c:v>2.6720000000000002</c:v>
                </c:pt>
                <c:pt idx="76" formatCode="General">
                  <c:v>2.6789999999999998</c:v>
                </c:pt>
                <c:pt idx="77" formatCode="General">
                  <c:v>2.6880000000000002</c:v>
                </c:pt>
                <c:pt idx="78" formatCode="General">
                  <c:v>2.6779999999999999</c:v>
                </c:pt>
                <c:pt idx="79" formatCode="General">
                  <c:v>2.6720000000000002</c:v>
                </c:pt>
                <c:pt idx="80" formatCode="General">
                  <c:v>2.6720000000000002</c:v>
                </c:pt>
                <c:pt idx="81" formatCode="General">
                  <c:v>2.6749999999999998</c:v>
                </c:pt>
                <c:pt idx="82" formatCode="General">
                  <c:v>2.6720000000000002</c:v>
                </c:pt>
                <c:pt idx="83" formatCode="General">
                  <c:v>2.6549999999999998</c:v>
                </c:pt>
                <c:pt idx="84" formatCode="General">
                  <c:v>2.6179999999999999</c:v>
                </c:pt>
                <c:pt idx="85" formatCode="General">
                  <c:v>2.64</c:v>
                </c:pt>
                <c:pt idx="86" formatCode="General">
                  <c:v>2.6240000000000001</c:v>
                </c:pt>
                <c:pt idx="87" formatCode="General">
                  <c:v>2.649</c:v>
                </c:pt>
                <c:pt idx="88" formatCode="General">
                  <c:v>2.64</c:v>
                </c:pt>
                <c:pt idx="89" formatCode="General">
                  <c:v>2.6230000000000002</c:v>
                </c:pt>
                <c:pt idx="90" formatCode="General">
                  <c:v>2.6269999999999998</c:v>
                </c:pt>
                <c:pt idx="91" formatCode="General">
                  <c:v>2.6230000000000002</c:v>
                </c:pt>
                <c:pt idx="92" formatCode="General">
                  <c:v>2.629</c:v>
                </c:pt>
                <c:pt idx="93" formatCode="General">
                  <c:v>2.641</c:v>
                </c:pt>
                <c:pt idx="94" formatCode="General">
                  <c:v>2.6560000000000001</c:v>
                </c:pt>
                <c:pt idx="95" formatCode="General">
                  <c:v>2.6659999999999999</c:v>
                </c:pt>
                <c:pt idx="96" formatCode="General">
                  <c:v>2.6669999999999998</c:v>
                </c:pt>
                <c:pt idx="97" formatCode="General">
                  <c:v>2.6720000000000002</c:v>
                </c:pt>
                <c:pt idx="98" formatCode="General">
                  <c:v>2.6579999999999999</c:v>
                </c:pt>
                <c:pt idx="99" formatCode="General">
                  <c:v>2.6760000000000002</c:v>
                </c:pt>
                <c:pt idx="100" formatCode="General">
                  <c:v>2.67</c:v>
                </c:pt>
                <c:pt idx="101" formatCode="General">
                  <c:v>2.67</c:v>
                </c:pt>
                <c:pt idx="102" formatCode="General">
                  <c:v>2.7109999999999999</c:v>
                </c:pt>
                <c:pt idx="103" formatCode="General">
                  <c:v>2.7189999999999999</c:v>
                </c:pt>
                <c:pt idx="104" formatCode="General">
                  <c:v>2.7370000000000001</c:v>
                </c:pt>
                <c:pt idx="105" formatCode="General">
                  <c:v>2.7290000000000001</c:v>
                </c:pt>
                <c:pt idx="106" formatCode="General">
                  <c:v>2.7309999999999999</c:v>
                </c:pt>
                <c:pt idx="107" formatCode="General">
                  <c:v>2.7410000000000001</c:v>
                </c:pt>
                <c:pt idx="108" formatCode="General">
                  <c:v>2.738</c:v>
                </c:pt>
                <c:pt idx="109" formatCode="General">
                  <c:v>2.738</c:v>
                </c:pt>
                <c:pt idx="110" formatCode="General">
                  <c:v>2.7549999999999999</c:v>
                </c:pt>
                <c:pt idx="111" formatCode="General">
                  <c:v>2.7789999999999999</c:v>
                </c:pt>
                <c:pt idx="112" formatCode="General">
                  <c:v>2.7709999999999999</c:v>
                </c:pt>
                <c:pt idx="113" formatCode="General">
                  <c:v>2.77</c:v>
                </c:pt>
                <c:pt idx="114" formatCode="General">
                  <c:v>2.7879999999999998</c:v>
                </c:pt>
                <c:pt idx="115" formatCode="General">
                  <c:v>2.7909999999999999</c:v>
                </c:pt>
                <c:pt idx="116" formatCode="General">
                  <c:v>2.7869999999999999</c:v>
                </c:pt>
                <c:pt idx="117" formatCode="General">
                  <c:v>2.7879999999999998</c:v>
                </c:pt>
                <c:pt idx="118" formatCode="General">
                  <c:v>2.7879999999999998</c:v>
                </c:pt>
                <c:pt idx="119" formatCode="General">
                  <c:v>2.8029999999999999</c:v>
                </c:pt>
                <c:pt idx="120" formatCode="General">
                  <c:v>2.819</c:v>
                </c:pt>
                <c:pt idx="121" formatCode="General">
                  <c:v>2.8140000000000001</c:v>
                </c:pt>
                <c:pt idx="122" formatCode="General">
                  <c:v>2.83</c:v>
                </c:pt>
                <c:pt idx="123" formatCode="General">
                  <c:v>2.827</c:v>
                </c:pt>
                <c:pt idx="124" formatCode="General">
                  <c:v>2.8210000000000002</c:v>
                </c:pt>
                <c:pt idx="125" formatCode="General">
                  <c:v>2.8239999999999998</c:v>
                </c:pt>
                <c:pt idx="126" formatCode="General">
                  <c:v>2.8460000000000001</c:v>
                </c:pt>
                <c:pt idx="127" formatCode="General">
                  <c:v>2.8420000000000001</c:v>
                </c:pt>
                <c:pt idx="128" formatCode="General">
                  <c:v>2.8530000000000002</c:v>
                </c:pt>
                <c:pt idx="129" formatCode="General">
                  <c:v>2.8879999999999999</c:v>
                </c:pt>
                <c:pt idx="130" formatCode="General">
                  <c:v>2.9</c:v>
                </c:pt>
                <c:pt idx="131" formatCode="General">
                  <c:v>2.8929999999999998</c:v>
                </c:pt>
                <c:pt idx="132" formatCode="General">
                  <c:v>2.8809999999999998</c:v>
                </c:pt>
                <c:pt idx="133" formatCode="General">
                  <c:v>2.8809999999999998</c:v>
                </c:pt>
                <c:pt idx="134" formatCode="General">
                  <c:v>2.8929999999999998</c:v>
                </c:pt>
                <c:pt idx="135" formatCode="General">
                  <c:v>2.8660000000000001</c:v>
                </c:pt>
                <c:pt idx="136" formatCode="General">
                  <c:v>2.8690000000000002</c:v>
                </c:pt>
                <c:pt idx="137" formatCode="General">
                  <c:v>2.88</c:v>
                </c:pt>
                <c:pt idx="138" formatCode="General">
                  <c:v>2.9039999999999999</c:v>
                </c:pt>
                <c:pt idx="139" formatCode="General">
                  <c:v>2.9089999999999998</c:v>
                </c:pt>
                <c:pt idx="140" formatCode="General">
                  <c:v>2.9390000000000001</c:v>
                </c:pt>
                <c:pt idx="141" formatCode="General">
                  <c:v>2.93</c:v>
                </c:pt>
                <c:pt idx="142" formatCode="General">
                  <c:v>2.9359999999999999</c:v>
                </c:pt>
                <c:pt idx="143" formatCode="General">
                  <c:v>2.95</c:v>
                </c:pt>
                <c:pt idx="144" formatCode="General">
                  <c:v>2.964</c:v>
                </c:pt>
                <c:pt idx="145" formatCode="General">
                  <c:v>2.9510000000000001</c:v>
                </c:pt>
                <c:pt idx="146" formatCode="General">
                  <c:v>2.9260000000000002</c:v>
                </c:pt>
                <c:pt idx="147" formatCode="General">
                  <c:v>2.9220000000000002</c:v>
                </c:pt>
                <c:pt idx="148" formatCode="General">
                  <c:v>2.89</c:v>
                </c:pt>
                <c:pt idx="149" formatCode="General">
                  <c:v>2.871</c:v>
                </c:pt>
                <c:pt idx="150" formatCode="General">
                  <c:v>2.8809999999999998</c:v>
                </c:pt>
                <c:pt idx="151" formatCode="General">
                  <c:v>2.8959999999999999</c:v>
                </c:pt>
                <c:pt idx="152" formatCode="General">
                  <c:v>2.8940000000000001</c:v>
                </c:pt>
                <c:pt idx="153" formatCode="General">
                  <c:v>2.9159999999999999</c:v>
                </c:pt>
                <c:pt idx="154" formatCode="General">
                  <c:v>2.9089999999999998</c:v>
                </c:pt>
                <c:pt idx="155" formatCode="General">
                  <c:v>2.9060000000000001</c:v>
                </c:pt>
                <c:pt idx="156" formatCode="General">
                  <c:v>2.91</c:v>
                </c:pt>
                <c:pt idx="157" formatCode="General">
                  <c:v>2.9329999999999998</c:v>
                </c:pt>
                <c:pt idx="158" formatCode="General">
                  <c:v>2.9140000000000001</c:v>
                </c:pt>
                <c:pt idx="159" formatCode="General">
                  <c:v>2.8959999999999999</c:v>
                </c:pt>
                <c:pt idx="160" formatCode="General">
                  <c:v>2.8460000000000001</c:v>
                </c:pt>
                <c:pt idx="161" formatCode="General">
                  <c:v>2.8690000000000002</c:v>
                </c:pt>
                <c:pt idx="162" formatCode="General">
                  <c:v>2.8780000000000001</c:v>
                </c:pt>
                <c:pt idx="163" formatCode="General">
                  <c:v>2.8650000000000002</c:v>
                </c:pt>
                <c:pt idx="164" formatCode="General">
                  <c:v>2.843</c:v>
                </c:pt>
                <c:pt idx="165" formatCode="General">
                  <c:v>2.8050000000000002</c:v>
                </c:pt>
                <c:pt idx="166" formatCode="General">
                  <c:v>2.7519999999999998</c:v>
                </c:pt>
                <c:pt idx="167" formatCode="General">
                  <c:v>2.7749999999999999</c:v>
                </c:pt>
                <c:pt idx="168" formatCode="General">
                  <c:v>2.78</c:v>
                </c:pt>
                <c:pt idx="169" formatCode="General">
                  <c:v>2.766</c:v>
                </c:pt>
                <c:pt idx="170" formatCode="General">
                  <c:v>2.7679999999999998</c:v>
                </c:pt>
                <c:pt idx="171" formatCode="General">
                  <c:v>2.7749999999999999</c:v>
                </c:pt>
                <c:pt idx="172" formatCode="General">
                  <c:v>2.7829999999999999</c:v>
                </c:pt>
                <c:pt idx="173" formatCode="General">
                  <c:v>2.7709999999999999</c:v>
                </c:pt>
                <c:pt idx="174" formatCode="General">
                  <c:v>2.766</c:v>
                </c:pt>
                <c:pt idx="175" formatCode="General">
                  <c:v>2.7559999999999998</c:v>
                </c:pt>
                <c:pt idx="176" formatCode="General">
                  <c:v>2.7349999999999999</c:v>
                </c:pt>
                <c:pt idx="177" formatCode="General">
                  <c:v>2.6949999999999998</c:v>
                </c:pt>
                <c:pt idx="178" formatCode="General">
                  <c:v>2.714</c:v>
                </c:pt>
                <c:pt idx="179" formatCode="General">
                  <c:v>2.726</c:v>
                </c:pt>
                <c:pt idx="180" formatCode="General">
                  <c:v>2.7280000000000002</c:v>
                </c:pt>
                <c:pt idx="181" formatCode="General">
                  <c:v>2.738</c:v>
                </c:pt>
                <c:pt idx="182" formatCode="General">
                  <c:v>2.7010000000000001</c:v>
                </c:pt>
                <c:pt idx="183" formatCode="General">
                  <c:v>2.6949999999999998</c:v>
                </c:pt>
                <c:pt idx="184" formatCode="General">
                  <c:v>2.7040000000000002</c:v>
                </c:pt>
                <c:pt idx="185" formatCode="General">
                  <c:v>2.7</c:v>
                </c:pt>
                <c:pt idx="186" formatCode="General">
                  <c:v>2.7050000000000001</c:v>
                </c:pt>
                <c:pt idx="187" formatCode="General">
                  <c:v>2.6739999999999999</c:v>
                </c:pt>
                <c:pt idx="188" formatCode="General">
                  <c:v>2.669</c:v>
                </c:pt>
                <c:pt idx="189" formatCode="General">
                  <c:v>2.673</c:v>
                </c:pt>
                <c:pt idx="190" formatCode="General">
                  <c:v>2.66</c:v>
                </c:pt>
                <c:pt idx="191" formatCode="General">
                  <c:v>2.6629999999999998</c:v>
                </c:pt>
                <c:pt idx="192" formatCode="General">
                  <c:v>2.6480000000000001</c:v>
                </c:pt>
                <c:pt idx="193" formatCode="General">
                  <c:v>2.661</c:v>
                </c:pt>
                <c:pt idx="194" formatCode="General">
                  <c:v>2.6659999999999999</c:v>
                </c:pt>
                <c:pt idx="195" formatCode="General">
                  <c:v>2.6779999999999999</c:v>
                </c:pt>
                <c:pt idx="196" formatCode="General">
                  <c:v>2.6779999999999999</c:v>
                </c:pt>
                <c:pt idx="197" formatCode="General">
                  <c:v>2.6890000000000001</c:v>
                </c:pt>
                <c:pt idx="198" formatCode="General">
                  <c:v>2.6760000000000002</c:v>
                </c:pt>
                <c:pt idx="199" formatCode="General">
                  <c:v>2.661</c:v>
                </c:pt>
                <c:pt idx="200" formatCode="General">
                  <c:v>2.669</c:v>
                </c:pt>
                <c:pt idx="201" formatCode="General">
                  <c:v>2.6480000000000001</c:v>
                </c:pt>
                <c:pt idx="202" formatCode="General">
                  <c:v>2.6480000000000001</c:v>
                </c:pt>
                <c:pt idx="203" formatCode="General">
                  <c:v>2.6549999999999998</c:v>
                </c:pt>
                <c:pt idx="204" formatCode="General">
                  <c:v>2.653</c:v>
                </c:pt>
                <c:pt idx="205" formatCode="General">
                  <c:v>2.661</c:v>
                </c:pt>
                <c:pt idx="206" formatCode="General">
                  <c:v>2.625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9B-4BF4-8AF1-02D0399DFDFF}"/>
            </c:ext>
          </c:extLst>
        </c:ser>
        <c:ser>
          <c:idx val="1"/>
          <c:order val="1"/>
          <c:tx>
            <c:strRef>
              <c:f>'Clean Swap Data'!$C$2</c:f>
              <c:strCache>
                <c:ptCount val="1"/>
                <c:pt idx="0">
                  <c:v>ICERATESUSD2Y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'Clean Swap Data'!$C$3:$C$210</c:f>
              <c:numCache>
                <c:formatCode>0.000</c:formatCode>
                <c:ptCount val="208"/>
                <c:pt idx="0">
                  <c:v>2.593</c:v>
                </c:pt>
                <c:pt idx="1">
                  <c:v>2.6</c:v>
                </c:pt>
                <c:pt idx="2">
                  <c:v>2.6080000000000001</c:v>
                </c:pt>
                <c:pt idx="3">
                  <c:v>2.5840000000000001</c:v>
                </c:pt>
                <c:pt idx="4">
                  <c:v>2.581</c:v>
                </c:pt>
                <c:pt idx="5">
                  <c:v>2.5790000000000002</c:v>
                </c:pt>
                <c:pt idx="6">
                  <c:v>2.593</c:v>
                </c:pt>
                <c:pt idx="7">
                  <c:v>2.5979999999999999</c:v>
                </c:pt>
                <c:pt idx="8">
                  <c:v>2.62</c:v>
                </c:pt>
                <c:pt idx="9">
                  <c:v>2.5950000000000002</c:v>
                </c:pt>
                <c:pt idx="10">
                  <c:v>2.5979999999999999</c:v>
                </c:pt>
                <c:pt idx="11">
                  <c:v>2.6110000000000002</c:v>
                </c:pt>
                <c:pt idx="12">
                  <c:v>2.6509999999999998</c:v>
                </c:pt>
                <c:pt idx="13">
                  <c:v>2.6720000000000002</c:v>
                </c:pt>
                <c:pt idx="14">
                  <c:v>2.6909999999999998</c:v>
                </c:pt>
                <c:pt idx="15">
                  <c:v>2.6890000000000001</c:v>
                </c:pt>
                <c:pt idx="16">
                  <c:v>2.706</c:v>
                </c:pt>
                <c:pt idx="17">
                  <c:v>2.7189999999999999</c:v>
                </c:pt>
                <c:pt idx="18">
                  <c:v>2.734</c:v>
                </c:pt>
                <c:pt idx="19">
                  <c:v>2.7469999999999999</c:v>
                </c:pt>
                <c:pt idx="20">
                  <c:v>2.7589999999999999</c:v>
                </c:pt>
                <c:pt idx="21">
                  <c:v>2.7490000000000001</c:v>
                </c:pt>
                <c:pt idx="22">
                  <c:v>2.7290000000000001</c:v>
                </c:pt>
                <c:pt idx="23" formatCode="General">
                  <c:v>2.75</c:v>
                </c:pt>
                <c:pt idx="24" formatCode="General">
                  <c:v>2.7589999999999999</c:v>
                </c:pt>
                <c:pt idx="25" formatCode="General">
                  <c:v>2.7730000000000001</c:v>
                </c:pt>
                <c:pt idx="26" formatCode="General">
                  <c:v>2.74</c:v>
                </c:pt>
                <c:pt idx="27" formatCode="General">
                  <c:v>2.7559999999999998</c:v>
                </c:pt>
                <c:pt idx="28" formatCode="General">
                  <c:v>2.7679999999999998</c:v>
                </c:pt>
                <c:pt idx="29" formatCode="General">
                  <c:v>2.7730000000000001</c:v>
                </c:pt>
                <c:pt idx="30" formatCode="General">
                  <c:v>2.7770000000000001</c:v>
                </c:pt>
                <c:pt idx="31" formatCode="General">
                  <c:v>2.7719999999999998</c:v>
                </c:pt>
                <c:pt idx="32" formatCode="General">
                  <c:v>2.7650000000000001</c:v>
                </c:pt>
                <c:pt idx="33" formatCode="General">
                  <c:v>2.7480000000000002</c:v>
                </c:pt>
                <c:pt idx="34" formatCode="General">
                  <c:v>2.782</c:v>
                </c:pt>
                <c:pt idx="35" formatCode="General">
                  <c:v>2.81</c:v>
                </c:pt>
                <c:pt idx="36" formatCode="General">
                  <c:v>2.819</c:v>
                </c:pt>
                <c:pt idx="37" formatCode="General">
                  <c:v>2.782</c:v>
                </c:pt>
                <c:pt idx="38" formatCode="General">
                  <c:v>2.806</c:v>
                </c:pt>
                <c:pt idx="39" formatCode="General">
                  <c:v>2.8039999999999998</c:v>
                </c:pt>
                <c:pt idx="40" formatCode="General">
                  <c:v>2.722</c:v>
                </c:pt>
                <c:pt idx="41" formatCode="General">
                  <c:v>2.714</c:v>
                </c:pt>
                <c:pt idx="42" formatCode="General">
                  <c:v>2.6269999999999998</c:v>
                </c:pt>
                <c:pt idx="43" formatCode="General">
                  <c:v>2.7589999999999999</c:v>
                </c:pt>
                <c:pt idx="44" formatCode="General">
                  <c:v>2.7629999999999999</c:v>
                </c:pt>
                <c:pt idx="45" formatCode="General">
                  <c:v>2.782</c:v>
                </c:pt>
                <c:pt idx="46" formatCode="General">
                  <c:v>2.7970000000000002</c:v>
                </c:pt>
                <c:pt idx="47" formatCode="General">
                  <c:v>2.8170000000000002</c:v>
                </c:pt>
                <c:pt idx="48" formatCode="General">
                  <c:v>2.802</c:v>
                </c:pt>
                <c:pt idx="49" formatCode="General">
                  <c:v>2.8079999999999998</c:v>
                </c:pt>
                <c:pt idx="50" formatCode="General">
                  <c:v>2.8130000000000002</c:v>
                </c:pt>
                <c:pt idx="51" formatCode="General">
                  <c:v>2.806</c:v>
                </c:pt>
                <c:pt idx="52" formatCode="General">
                  <c:v>2.7919999999999998</c:v>
                </c:pt>
                <c:pt idx="53" formatCode="General">
                  <c:v>2.7909999999999999</c:v>
                </c:pt>
                <c:pt idx="54" formatCode="General">
                  <c:v>2.7810000000000001</c:v>
                </c:pt>
                <c:pt idx="55" formatCode="General">
                  <c:v>2.7919999999999998</c:v>
                </c:pt>
                <c:pt idx="56" formatCode="General">
                  <c:v>2.8</c:v>
                </c:pt>
                <c:pt idx="57" formatCode="General">
                  <c:v>2.794</c:v>
                </c:pt>
                <c:pt idx="58" formatCode="General">
                  <c:v>2.8010000000000002</c:v>
                </c:pt>
                <c:pt idx="59" formatCode="General">
                  <c:v>2.8</c:v>
                </c:pt>
                <c:pt idx="60" formatCode="General">
                  <c:v>2.8130000000000002</c:v>
                </c:pt>
                <c:pt idx="61" formatCode="General">
                  <c:v>2.819</c:v>
                </c:pt>
                <c:pt idx="62" formatCode="General">
                  <c:v>2.8250000000000002</c:v>
                </c:pt>
                <c:pt idx="63" formatCode="General">
                  <c:v>2.823</c:v>
                </c:pt>
                <c:pt idx="64" formatCode="General">
                  <c:v>2.8090000000000002</c:v>
                </c:pt>
                <c:pt idx="65" formatCode="General">
                  <c:v>2.831</c:v>
                </c:pt>
                <c:pt idx="66" formatCode="General">
                  <c:v>2.8330000000000002</c:v>
                </c:pt>
                <c:pt idx="67" formatCode="General">
                  <c:v>2.8330000000000002</c:v>
                </c:pt>
                <c:pt idx="68" formatCode="General">
                  <c:v>2.835</c:v>
                </c:pt>
                <c:pt idx="69" formatCode="General">
                  <c:v>2.827</c:v>
                </c:pt>
                <c:pt idx="70" formatCode="General">
                  <c:v>2.839</c:v>
                </c:pt>
                <c:pt idx="71" formatCode="General">
                  <c:v>2.855</c:v>
                </c:pt>
                <c:pt idx="72" formatCode="General">
                  <c:v>2.8479999999999999</c:v>
                </c:pt>
                <c:pt idx="73" formatCode="General">
                  <c:v>2.8639999999999999</c:v>
                </c:pt>
                <c:pt idx="74" formatCode="General">
                  <c:v>2.879</c:v>
                </c:pt>
                <c:pt idx="75" formatCode="General">
                  <c:v>2.8849999999999998</c:v>
                </c:pt>
                <c:pt idx="76" formatCode="General">
                  <c:v>2.8809999999999998</c:v>
                </c:pt>
                <c:pt idx="77" formatCode="General">
                  <c:v>2.8980000000000001</c:v>
                </c:pt>
                <c:pt idx="78" formatCode="General">
                  <c:v>2.8849999999999998</c:v>
                </c:pt>
                <c:pt idx="79" formatCode="General">
                  <c:v>2.8679999999999999</c:v>
                </c:pt>
                <c:pt idx="80" formatCode="General">
                  <c:v>2.86</c:v>
                </c:pt>
                <c:pt idx="81" formatCode="General">
                  <c:v>2.875</c:v>
                </c:pt>
                <c:pt idx="82" formatCode="General">
                  <c:v>2.8690000000000002</c:v>
                </c:pt>
                <c:pt idx="83" formatCode="General">
                  <c:v>2.85</c:v>
                </c:pt>
                <c:pt idx="84" formatCode="General">
                  <c:v>2.8079999999999998</c:v>
                </c:pt>
                <c:pt idx="85" formatCode="General">
                  <c:v>2.8210000000000002</c:v>
                </c:pt>
                <c:pt idx="86" formatCode="General">
                  <c:v>2.7850000000000001</c:v>
                </c:pt>
                <c:pt idx="87" formatCode="General">
                  <c:v>2.819</c:v>
                </c:pt>
                <c:pt idx="88" formatCode="General">
                  <c:v>2.8090000000000002</c:v>
                </c:pt>
                <c:pt idx="89" formatCode="General">
                  <c:v>2.7959999999999998</c:v>
                </c:pt>
                <c:pt idx="90" formatCode="General">
                  <c:v>2.8010000000000002</c:v>
                </c:pt>
                <c:pt idx="91" formatCode="General">
                  <c:v>2.794</c:v>
                </c:pt>
                <c:pt idx="92" formatCode="General">
                  <c:v>2.794</c:v>
                </c:pt>
                <c:pt idx="93" formatCode="General">
                  <c:v>2.81</c:v>
                </c:pt>
                <c:pt idx="94" formatCode="General">
                  <c:v>2.823</c:v>
                </c:pt>
                <c:pt idx="95" formatCode="General">
                  <c:v>2.839</c:v>
                </c:pt>
                <c:pt idx="96" formatCode="General">
                  <c:v>2.8519999999999999</c:v>
                </c:pt>
                <c:pt idx="97" formatCode="General">
                  <c:v>2.847</c:v>
                </c:pt>
                <c:pt idx="98" formatCode="General">
                  <c:v>2.8279999999999998</c:v>
                </c:pt>
                <c:pt idx="99" formatCode="General">
                  <c:v>2.8439999999999999</c:v>
                </c:pt>
                <c:pt idx="100" formatCode="General">
                  <c:v>2.84</c:v>
                </c:pt>
                <c:pt idx="101" formatCode="General">
                  <c:v>2.83</c:v>
                </c:pt>
                <c:pt idx="102" formatCode="General">
                  <c:v>2.8879999999999999</c:v>
                </c:pt>
                <c:pt idx="103" formatCode="General">
                  <c:v>2.8959999999999999</c:v>
                </c:pt>
                <c:pt idx="104" formatCode="General">
                  <c:v>2.9220000000000002</c:v>
                </c:pt>
                <c:pt idx="105" formatCode="General">
                  <c:v>2.92</c:v>
                </c:pt>
                <c:pt idx="106" formatCode="General">
                  <c:v>2.9289999999999998</c:v>
                </c:pt>
                <c:pt idx="107" formatCode="General">
                  <c:v>2.9540000000000002</c:v>
                </c:pt>
                <c:pt idx="108" formatCode="General">
                  <c:v>2.95</c:v>
                </c:pt>
                <c:pt idx="109" formatCode="General">
                  <c:v>2.9529999999999998</c:v>
                </c:pt>
                <c:pt idx="110" formatCode="General">
                  <c:v>2.9750000000000001</c:v>
                </c:pt>
                <c:pt idx="111" formatCode="General">
                  <c:v>2.9860000000000002</c:v>
                </c:pt>
                <c:pt idx="112" formatCode="General">
                  <c:v>2.9860000000000002</c:v>
                </c:pt>
                <c:pt idx="113" formatCode="General">
                  <c:v>2.9790000000000001</c:v>
                </c:pt>
                <c:pt idx="114" formatCode="General">
                  <c:v>3.0089999999999999</c:v>
                </c:pt>
                <c:pt idx="115" formatCode="General">
                  <c:v>3.0009999999999999</c:v>
                </c:pt>
                <c:pt idx="116" formatCode="General">
                  <c:v>2.9830000000000001</c:v>
                </c:pt>
                <c:pt idx="117" formatCode="General">
                  <c:v>2.988</c:v>
                </c:pt>
                <c:pt idx="118" formatCode="General">
                  <c:v>2.9790000000000001</c:v>
                </c:pt>
                <c:pt idx="119" formatCode="General">
                  <c:v>3.008</c:v>
                </c:pt>
                <c:pt idx="120" formatCode="General">
                  <c:v>3.05</c:v>
                </c:pt>
                <c:pt idx="121" formatCode="General">
                  <c:v>3.0659999999999998</c:v>
                </c:pt>
                <c:pt idx="122" formatCode="General">
                  <c:v>3.0680000000000001</c:v>
                </c:pt>
                <c:pt idx="123" formatCode="General">
                  <c:v>3.0710000000000002</c:v>
                </c:pt>
                <c:pt idx="124" formatCode="General">
                  <c:v>3.0489999999999999</c:v>
                </c:pt>
                <c:pt idx="125" formatCode="General">
                  <c:v>3.0459999999999998</c:v>
                </c:pt>
                <c:pt idx="126" formatCode="General">
                  <c:v>3.0489999999999999</c:v>
                </c:pt>
                <c:pt idx="127" formatCode="General">
                  <c:v>3.0649999999999999</c:v>
                </c:pt>
                <c:pt idx="128" formatCode="General">
                  <c:v>3.0569999999999999</c:v>
                </c:pt>
                <c:pt idx="129" formatCode="General">
                  <c:v>3.1179999999999999</c:v>
                </c:pt>
                <c:pt idx="130" formatCode="General">
                  <c:v>3.1059999999999999</c:v>
                </c:pt>
                <c:pt idx="131" formatCode="General">
                  <c:v>3.1070000000000002</c:v>
                </c:pt>
                <c:pt idx="132" formatCode="General">
                  <c:v>3.0539999999999998</c:v>
                </c:pt>
                <c:pt idx="133" formatCode="General">
                  <c:v>3.0569999999999999</c:v>
                </c:pt>
                <c:pt idx="134" formatCode="General">
                  <c:v>3.069</c:v>
                </c:pt>
                <c:pt idx="135" formatCode="General">
                  <c:v>2.9889999999999999</c:v>
                </c:pt>
                <c:pt idx="136" formatCode="General">
                  <c:v>3.044</c:v>
                </c:pt>
                <c:pt idx="137" formatCode="General">
                  <c:v>3.036</c:v>
                </c:pt>
                <c:pt idx="138" formatCode="General">
                  <c:v>3.0750000000000002</c:v>
                </c:pt>
                <c:pt idx="139" formatCode="General">
                  <c:v>3.077</c:v>
                </c:pt>
                <c:pt idx="140" formatCode="General">
                  <c:v>3.0979999999999999</c:v>
                </c:pt>
                <c:pt idx="141" formatCode="General">
                  <c:v>3.1030000000000002</c:v>
                </c:pt>
                <c:pt idx="142" formatCode="General">
                  <c:v>3.1080000000000001</c:v>
                </c:pt>
                <c:pt idx="143" formatCode="General">
                  <c:v>3.121</c:v>
                </c:pt>
                <c:pt idx="144" formatCode="General">
                  <c:v>3.1349999999999998</c:v>
                </c:pt>
                <c:pt idx="145" formatCode="General">
                  <c:v>3.1219999999999999</c:v>
                </c:pt>
                <c:pt idx="146" formatCode="General">
                  <c:v>3.0910000000000002</c:v>
                </c:pt>
                <c:pt idx="147" formatCode="General">
                  <c:v>3.0310000000000001</c:v>
                </c:pt>
                <c:pt idx="148" formatCode="General">
                  <c:v>3.0230000000000001</c:v>
                </c:pt>
                <c:pt idx="149" formatCode="General">
                  <c:v>2.9830000000000001</c:v>
                </c:pt>
                <c:pt idx="150" formatCode="General">
                  <c:v>2.9870000000000001</c:v>
                </c:pt>
                <c:pt idx="151" formatCode="General">
                  <c:v>3.01</c:v>
                </c:pt>
                <c:pt idx="152" formatCode="General">
                  <c:v>2.99</c:v>
                </c:pt>
                <c:pt idx="153" formatCode="General">
                  <c:v>3.0179999999999998</c:v>
                </c:pt>
                <c:pt idx="154" formatCode="General">
                  <c:v>3.0150000000000001</c:v>
                </c:pt>
                <c:pt idx="155" formatCode="General">
                  <c:v>2.9660000000000002</c:v>
                </c:pt>
                <c:pt idx="156" formatCode="General">
                  <c:v>2.9790000000000001</c:v>
                </c:pt>
                <c:pt idx="157" formatCode="General">
                  <c:v>2.9950000000000001</c:v>
                </c:pt>
                <c:pt idx="158" formatCode="General">
                  <c:v>2.9940000000000002</c:v>
                </c:pt>
                <c:pt idx="159" formatCode="General">
                  <c:v>2.87</c:v>
                </c:pt>
                <c:pt idx="160" formatCode="General">
                  <c:v>2.8460000000000001</c:v>
                </c:pt>
                <c:pt idx="161" formatCode="General">
                  <c:v>2.8730000000000002</c:v>
                </c:pt>
                <c:pt idx="162" formatCode="General">
                  <c:v>2.9009999999999998</c:v>
                </c:pt>
                <c:pt idx="163" formatCode="General">
                  <c:v>2.883</c:v>
                </c:pt>
                <c:pt idx="164" formatCode="General">
                  <c:v>2.863</c:v>
                </c:pt>
                <c:pt idx="165" formatCode="General">
                  <c:v>2.8050000000000002</c:v>
                </c:pt>
                <c:pt idx="166" formatCode="General">
                  <c:v>2.653</c:v>
                </c:pt>
                <c:pt idx="167" formatCode="General">
                  <c:v>2.7109999999999999</c:v>
                </c:pt>
                <c:pt idx="168" formatCode="General">
                  <c:v>2.7</c:v>
                </c:pt>
                <c:pt idx="169" formatCode="General">
                  <c:v>2.698</c:v>
                </c:pt>
                <c:pt idx="170" formatCode="General">
                  <c:v>2.718</c:v>
                </c:pt>
                <c:pt idx="171" formatCode="General">
                  <c:v>2.742</c:v>
                </c:pt>
                <c:pt idx="172" formatCode="General">
                  <c:v>2.74</c:v>
                </c:pt>
                <c:pt idx="173" formatCode="General">
                  <c:v>2.7189999999999999</c:v>
                </c:pt>
                <c:pt idx="174" formatCode="General">
                  <c:v>2.734</c:v>
                </c:pt>
                <c:pt idx="175" formatCode="General">
                  <c:v>2.7090000000000001</c:v>
                </c:pt>
                <c:pt idx="176" formatCode="General">
                  <c:v>2.722</c:v>
                </c:pt>
                <c:pt idx="177" formatCode="General">
                  <c:v>2.6269999999999998</c:v>
                </c:pt>
                <c:pt idx="178" formatCode="General">
                  <c:v>2.6549999999999998</c:v>
                </c:pt>
                <c:pt idx="179" formatCode="General">
                  <c:v>2.6760000000000002</c:v>
                </c:pt>
                <c:pt idx="180" formatCode="General">
                  <c:v>2.6709999999999998</c:v>
                </c:pt>
                <c:pt idx="181" formatCode="General">
                  <c:v>2.6659999999999999</c:v>
                </c:pt>
                <c:pt idx="182" formatCode="General">
                  <c:v>2.629</c:v>
                </c:pt>
                <c:pt idx="183" formatCode="General">
                  <c:v>2.6240000000000001</c:v>
                </c:pt>
                <c:pt idx="184" formatCode="General">
                  <c:v>2.6389999999999998</c:v>
                </c:pt>
                <c:pt idx="185" formatCode="General">
                  <c:v>2.637</c:v>
                </c:pt>
                <c:pt idx="186" formatCode="General">
                  <c:v>2.653</c:v>
                </c:pt>
                <c:pt idx="187" formatCode="General">
                  <c:v>2.6150000000000002</c:v>
                </c:pt>
                <c:pt idx="188" formatCode="General">
                  <c:v>2.6120000000000001</c:v>
                </c:pt>
                <c:pt idx="189" formatCode="General">
                  <c:v>2.629</c:v>
                </c:pt>
                <c:pt idx="190" formatCode="General">
                  <c:v>2.6070000000000002</c:v>
                </c:pt>
                <c:pt idx="191" formatCode="General">
                  <c:v>2.6030000000000002</c:v>
                </c:pt>
                <c:pt idx="192" formatCode="General">
                  <c:v>2.5779999999999998</c:v>
                </c:pt>
                <c:pt idx="193" formatCode="General">
                  <c:v>2.585</c:v>
                </c:pt>
                <c:pt idx="194" formatCode="General">
                  <c:v>2.6190000000000002</c:v>
                </c:pt>
                <c:pt idx="195" formatCode="General">
                  <c:v>2.63</c:v>
                </c:pt>
                <c:pt idx="196" formatCode="General">
                  <c:v>2.64</c:v>
                </c:pt>
                <c:pt idx="197" formatCode="General">
                  <c:v>2.6549999999999998</c:v>
                </c:pt>
                <c:pt idx="198" formatCode="General">
                  <c:v>2.633</c:v>
                </c:pt>
                <c:pt idx="199" formatCode="General">
                  <c:v>2.6019999999999999</c:v>
                </c:pt>
                <c:pt idx="200" formatCode="General">
                  <c:v>2.601</c:v>
                </c:pt>
                <c:pt idx="201" formatCode="General">
                  <c:v>2.581</c:v>
                </c:pt>
                <c:pt idx="202" formatCode="General">
                  <c:v>2.5779999999999998</c:v>
                </c:pt>
                <c:pt idx="203" formatCode="General">
                  <c:v>2.573</c:v>
                </c:pt>
                <c:pt idx="204" formatCode="General">
                  <c:v>2.556</c:v>
                </c:pt>
                <c:pt idx="205" formatCode="General">
                  <c:v>2.569</c:v>
                </c:pt>
                <c:pt idx="206" formatCode="General">
                  <c:v>2.4990000000000001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9B-4BF4-8AF1-02D0399DFDFF}"/>
            </c:ext>
          </c:extLst>
        </c:ser>
        <c:ser>
          <c:idx val="2"/>
          <c:order val="2"/>
          <c:tx>
            <c:strRef>
              <c:f>'Clean Swap Data'!$D$2</c:f>
              <c:strCache>
                <c:ptCount val="1"/>
                <c:pt idx="0">
                  <c:v>ICERATESUSD3Y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'Clean Swap Data'!$D$3:$D$210</c:f>
              <c:numCache>
                <c:formatCode>0.000</c:formatCode>
                <c:ptCount val="208"/>
                <c:pt idx="0">
                  <c:v>2.694</c:v>
                </c:pt>
                <c:pt idx="1">
                  <c:v>2.6970000000000001</c:v>
                </c:pt>
                <c:pt idx="2">
                  <c:v>2.7</c:v>
                </c:pt>
                <c:pt idx="3">
                  <c:v>2.6760000000000002</c:v>
                </c:pt>
                <c:pt idx="4">
                  <c:v>2.6589999999999998</c:v>
                </c:pt>
                <c:pt idx="5">
                  <c:v>2.661</c:v>
                </c:pt>
                <c:pt idx="6">
                  <c:v>2.6739999999999999</c:v>
                </c:pt>
                <c:pt idx="7">
                  <c:v>2.68</c:v>
                </c:pt>
                <c:pt idx="8">
                  <c:v>2.7080000000000002</c:v>
                </c:pt>
                <c:pt idx="9">
                  <c:v>2.6720000000000002</c:v>
                </c:pt>
                <c:pt idx="10">
                  <c:v>2.681</c:v>
                </c:pt>
                <c:pt idx="11">
                  <c:v>2.6909999999999998</c:v>
                </c:pt>
                <c:pt idx="12">
                  <c:v>2.7280000000000002</c:v>
                </c:pt>
                <c:pt idx="13">
                  <c:v>2.7490000000000001</c:v>
                </c:pt>
                <c:pt idx="14">
                  <c:v>2.77</c:v>
                </c:pt>
                <c:pt idx="15">
                  <c:v>2.77</c:v>
                </c:pt>
                <c:pt idx="16">
                  <c:v>2.7839999999999998</c:v>
                </c:pt>
                <c:pt idx="17">
                  <c:v>2.8069999999999999</c:v>
                </c:pt>
                <c:pt idx="18">
                  <c:v>2.8290000000000002</c:v>
                </c:pt>
                <c:pt idx="19">
                  <c:v>2.8479999999999999</c:v>
                </c:pt>
                <c:pt idx="20">
                  <c:v>2.8610000000000002</c:v>
                </c:pt>
                <c:pt idx="21">
                  <c:v>2.851</c:v>
                </c:pt>
                <c:pt idx="22">
                  <c:v>2.8279999999999998</c:v>
                </c:pt>
                <c:pt idx="23" formatCode="General">
                  <c:v>2.8439999999999999</c:v>
                </c:pt>
                <c:pt idx="24" formatCode="General">
                  <c:v>2.855</c:v>
                </c:pt>
                <c:pt idx="25" formatCode="General">
                  <c:v>2.8679999999999999</c:v>
                </c:pt>
                <c:pt idx="26" formatCode="General">
                  <c:v>2.83</c:v>
                </c:pt>
                <c:pt idx="27" formatCode="General">
                  <c:v>2.8420000000000001</c:v>
                </c:pt>
                <c:pt idx="28" formatCode="General">
                  <c:v>2.8559999999999999</c:v>
                </c:pt>
                <c:pt idx="29" formatCode="General">
                  <c:v>2.8679999999999999</c:v>
                </c:pt>
                <c:pt idx="30" formatCode="General">
                  <c:v>2.8759999999999999</c:v>
                </c:pt>
                <c:pt idx="31" formatCode="General">
                  <c:v>2.8679999999999999</c:v>
                </c:pt>
                <c:pt idx="32" formatCode="General">
                  <c:v>2.8650000000000002</c:v>
                </c:pt>
                <c:pt idx="33" formatCode="General">
                  <c:v>2.851</c:v>
                </c:pt>
                <c:pt idx="34" formatCode="General">
                  <c:v>2.8919999999999999</c:v>
                </c:pt>
                <c:pt idx="35" formatCode="General">
                  <c:v>2.9239999999999999</c:v>
                </c:pt>
                <c:pt idx="36" formatCode="General">
                  <c:v>2.9369999999999998</c:v>
                </c:pt>
                <c:pt idx="37" formatCode="General">
                  <c:v>2.8929999999999998</c:v>
                </c:pt>
                <c:pt idx="38" formatCode="General">
                  <c:v>2.9140000000000001</c:v>
                </c:pt>
                <c:pt idx="39" formatCode="General">
                  <c:v>2.9129999999999998</c:v>
                </c:pt>
                <c:pt idx="40" formatCode="General">
                  <c:v>2.8180000000000001</c:v>
                </c:pt>
                <c:pt idx="41" formatCode="General">
                  <c:v>2.8039999999999998</c:v>
                </c:pt>
                <c:pt idx="42" formatCode="General">
                  <c:v>2.7010000000000001</c:v>
                </c:pt>
                <c:pt idx="43" formatCode="General">
                  <c:v>2.8420000000000001</c:v>
                </c:pt>
                <c:pt idx="44" formatCode="General">
                  <c:v>2.8460000000000001</c:v>
                </c:pt>
                <c:pt idx="45" formatCode="General">
                  <c:v>2.87</c:v>
                </c:pt>
                <c:pt idx="46" formatCode="General">
                  <c:v>2.8809999999999998</c:v>
                </c:pt>
                <c:pt idx="47" formatCode="General">
                  <c:v>2.895</c:v>
                </c:pt>
                <c:pt idx="48" formatCode="General">
                  <c:v>2.8730000000000002</c:v>
                </c:pt>
                <c:pt idx="49" formatCode="General">
                  <c:v>2.8809999999999998</c:v>
                </c:pt>
                <c:pt idx="50" formatCode="General">
                  <c:v>2.8839999999999999</c:v>
                </c:pt>
                <c:pt idx="51" formatCode="General">
                  <c:v>2.875</c:v>
                </c:pt>
                <c:pt idx="52" formatCode="General">
                  <c:v>2.855</c:v>
                </c:pt>
                <c:pt idx="53" formatCode="General">
                  <c:v>2.8530000000000002</c:v>
                </c:pt>
                <c:pt idx="54" formatCode="General">
                  <c:v>2.84</c:v>
                </c:pt>
                <c:pt idx="55" formatCode="General">
                  <c:v>2.8570000000000002</c:v>
                </c:pt>
                <c:pt idx="56" formatCode="General">
                  <c:v>2.8650000000000002</c:v>
                </c:pt>
                <c:pt idx="57" formatCode="General">
                  <c:v>2.859</c:v>
                </c:pt>
                <c:pt idx="58" formatCode="General">
                  <c:v>2.863</c:v>
                </c:pt>
                <c:pt idx="59" formatCode="General">
                  <c:v>2.86</c:v>
                </c:pt>
                <c:pt idx="60" formatCode="General">
                  <c:v>2.8740000000000001</c:v>
                </c:pt>
                <c:pt idx="61" formatCode="General">
                  <c:v>2.88</c:v>
                </c:pt>
                <c:pt idx="62" formatCode="General">
                  <c:v>2.883</c:v>
                </c:pt>
                <c:pt idx="63" formatCode="General">
                  <c:v>2.8759999999999999</c:v>
                </c:pt>
                <c:pt idx="64" formatCode="General">
                  <c:v>2.859</c:v>
                </c:pt>
                <c:pt idx="65" formatCode="General">
                  <c:v>2.8849999999999998</c:v>
                </c:pt>
                <c:pt idx="66" formatCode="General">
                  <c:v>2.8849999999999998</c:v>
                </c:pt>
                <c:pt idx="67" formatCode="General">
                  <c:v>2.8849999999999998</c:v>
                </c:pt>
                <c:pt idx="68" formatCode="General">
                  <c:v>2.8839999999999999</c:v>
                </c:pt>
                <c:pt idx="69" formatCode="General">
                  <c:v>2.88</c:v>
                </c:pt>
                <c:pt idx="70" formatCode="General">
                  <c:v>2.9009999999999998</c:v>
                </c:pt>
                <c:pt idx="71" formatCode="General">
                  <c:v>2.923</c:v>
                </c:pt>
                <c:pt idx="72" formatCode="General">
                  <c:v>2.9129999999999998</c:v>
                </c:pt>
                <c:pt idx="73" formatCode="General">
                  <c:v>2.9319999999999999</c:v>
                </c:pt>
                <c:pt idx="74" formatCode="General">
                  <c:v>2.9390000000000001</c:v>
                </c:pt>
                <c:pt idx="75" formatCode="General">
                  <c:v>2.9510000000000001</c:v>
                </c:pt>
                <c:pt idx="76" formatCode="General">
                  <c:v>2.944</c:v>
                </c:pt>
                <c:pt idx="77" formatCode="General">
                  <c:v>2.968</c:v>
                </c:pt>
                <c:pt idx="78" formatCode="General">
                  <c:v>2.9550000000000001</c:v>
                </c:pt>
                <c:pt idx="79" formatCode="General">
                  <c:v>2.9289999999999998</c:v>
                </c:pt>
                <c:pt idx="80" formatCode="General">
                  <c:v>2.9159999999999999</c:v>
                </c:pt>
                <c:pt idx="81" formatCode="General">
                  <c:v>2.9380000000000002</c:v>
                </c:pt>
                <c:pt idx="82" formatCode="General">
                  <c:v>2.9319999999999999</c:v>
                </c:pt>
                <c:pt idx="83" formatCode="General">
                  <c:v>2.91</c:v>
                </c:pt>
                <c:pt idx="84" formatCode="General">
                  <c:v>2.86</c:v>
                </c:pt>
                <c:pt idx="85" formatCode="General">
                  <c:v>2.8740000000000001</c:v>
                </c:pt>
                <c:pt idx="86" formatCode="General">
                  <c:v>2.83</c:v>
                </c:pt>
                <c:pt idx="87" formatCode="General">
                  <c:v>2.8679999999999999</c:v>
                </c:pt>
                <c:pt idx="88" formatCode="General">
                  <c:v>2.8570000000000002</c:v>
                </c:pt>
                <c:pt idx="89" formatCode="General">
                  <c:v>2.8410000000000002</c:v>
                </c:pt>
                <c:pt idx="90" formatCode="General">
                  <c:v>2.8479999999999999</c:v>
                </c:pt>
                <c:pt idx="91" formatCode="General">
                  <c:v>2.8370000000000002</c:v>
                </c:pt>
                <c:pt idx="92" formatCode="General">
                  <c:v>2.8370000000000002</c:v>
                </c:pt>
                <c:pt idx="93" formatCode="General">
                  <c:v>2.85</c:v>
                </c:pt>
                <c:pt idx="94" formatCode="General">
                  <c:v>2.8650000000000002</c:v>
                </c:pt>
                <c:pt idx="95" formatCode="General">
                  <c:v>2.8839999999999999</c:v>
                </c:pt>
                <c:pt idx="96" formatCode="General">
                  <c:v>2.9009999999999998</c:v>
                </c:pt>
                <c:pt idx="97" formatCode="General">
                  <c:v>2.891</c:v>
                </c:pt>
                <c:pt idx="98" formatCode="General">
                  <c:v>2.8660000000000001</c:v>
                </c:pt>
                <c:pt idx="99" formatCode="General">
                  <c:v>2.887</c:v>
                </c:pt>
                <c:pt idx="100" formatCode="General">
                  <c:v>2.8849999999999998</c:v>
                </c:pt>
                <c:pt idx="101" formatCode="General">
                  <c:v>2.8690000000000002</c:v>
                </c:pt>
                <c:pt idx="102" formatCode="General">
                  <c:v>2.9350000000000001</c:v>
                </c:pt>
                <c:pt idx="103" formatCode="General">
                  <c:v>2.9409999999999998</c:v>
                </c:pt>
                <c:pt idx="104" formatCode="General">
                  <c:v>2.9729999999999999</c:v>
                </c:pt>
                <c:pt idx="105" formatCode="General">
                  <c:v>2.9689999999999999</c:v>
                </c:pt>
                <c:pt idx="106" formatCode="General">
                  <c:v>2.976</c:v>
                </c:pt>
                <c:pt idx="107" formatCode="General">
                  <c:v>3.008</c:v>
                </c:pt>
                <c:pt idx="108" formatCode="General">
                  <c:v>3.0030000000000001</c:v>
                </c:pt>
                <c:pt idx="109" formatCode="General">
                  <c:v>3.0110000000000001</c:v>
                </c:pt>
                <c:pt idx="110" formatCode="General">
                  <c:v>3.0419999999999998</c:v>
                </c:pt>
                <c:pt idx="111" formatCode="General">
                  <c:v>3.0489999999999999</c:v>
                </c:pt>
                <c:pt idx="112" formatCode="General">
                  <c:v>3.05</c:v>
                </c:pt>
                <c:pt idx="113" formatCode="General">
                  <c:v>3.044</c:v>
                </c:pt>
                <c:pt idx="114" formatCode="General">
                  <c:v>3.0779999999999998</c:v>
                </c:pt>
                <c:pt idx="115" formatCode="General">
                  <c:v>3.0630000000000002</c:v>
                </c:pt>
                <c:pt idx="116" formatCode="General">
                  <c:v>3.04</c:v>
                </c:pt>
                <c:pt idx="117" formatCode="General">
                  <c:v>3.0470000000000002</c:v>
                </c:pt>
                <c:pt idx="118" formatCode="General">
                  <c:v>3.0350000000000001</c:v>
                </c:pt>
                <c:pt idx="119" formatCode="General">
                  <c:v>3.0710000000000002</c:v>
                </c:pt>
                <c:pt idx="120" formatCode="General">
                  <c:v>3.1269999999999998</c:v>
                </c:pt>
                <c:pt idx="121" formatCode="General">
                  <c:v>3.1469999999999998</c:v>
                </c:pt>
                <c:pt idx="122" formatCode="General">
                  <c:v>3.1440000000000001</c:v>
                </c:pt>
                <c:pt idx="123" formatCode="General">
                  <c:v>3.149</c:v>
                </c:pt>
                <c:pt idx="124" formatCode="General">
                  <c:v>3.1150000000000002</c:v>
                </c:pt>
                <c:pt idx="125" formatCode="General">
                  <c:v>3.1139999999999999</c:v>
                </c:pt>
                <c:pt idx="126" formatCode="General">
                  <c:v>3.11</c:v>
                </c:pt>
                <c:pt idx="127" formatCode="General">
                  <c:v>3.1320000000000001</c:v>
                </c:pt>
                <c:pt idx="128" formatCode="General">
                  <c:v>3.125</c:v>
                </c:pt>
                <c:pt idx="129" formatCode="General">
                  <c:v>3.1850000000000001</c:v>
                </c:pt>
                <c:pt idx="130" formatCode="General">
                  <c:v>3.169</c:v>
                </c:pt>
                <c:pt idx="131" formatCode="General">
                  <c:v>3.169</c:v>
                </c:pt>
                <c:pt idx="132" formatCode="General">
                  <c:v>3.101</c:v>
                </c:pt>
                <c:pt idx="133" formatCode="General">
                  <c:v>3.101</c:v>
                </c:pt>
                <c:pt idx="134" formatCode="General">
                  <c:v>3.1120000000000001</c:v>
                </c:pt>
                <c:pt idx="135" formatCode="General">
                  <c:v>3.0209999999999999</c:v>
                </c:pt>
                <c:pt idx="136" formatCode="General">
                  <c:v>3.0859999999999999</c:v>
                </c:pt>
                <c:pt idx="137" formatCode="General">
                  <c:v>3.073</c:v>
                </c:pt>
                <c:pt idx="138" formatCode="General">
                  <c:v>3.1160000000000001</c:v>
                </c:pt>
                <c:pt idx="139" formatCode="General">
                  <c:v>3.1179999999999999</c:v>
                </c:pt>
                <c:pt idx="140" formatCode="General">
                  <c:v>3.1419999999999999</c:v>
                </c:pt>
                <c:pt idx="141" formatCode="General">
                  <c:v>3.1480000000000001</c:v>
                </c:pt>
                <c:pt idx="142" formatCode="General">
                  <c:v>3.1539999999999999</c:v>
                </c:pt>
                <c:pt idx="143" formatCode="General">
                  <c:v>3.165</c:v>
                </c:pt>
                <c:pt idx="144" formatCode="General">
                  <c:v>3.18</c:v>
                </c:pt>
                <c:pt idx="145" formatCode="General">
                  <c:v>3.1629999999999998</c:v>
                </c:pt>
                <c:pt idx="146" formatCode="General">
                  <c:v>3.1280000000000001</c:v>
                </c:pt>
                <c:pt idx="147" formatCode="General">
                  <c:v>3.0550000000000002</c:v>
                </c:pt>
                <c:pt idx="148" formatCode="General">
                  <c:v>3.0430000000000001</c:v>
                </c:pt>
                <c:pt idx="149" formatCode="General">
                  <c:v>3.0030000000000001</c:v>
                </c:pt>
                <c:pt idx="150" formatCode="General">
                  <c:v>3.0049999999999999</c:v>
                </c:pt>
                <c:pt idx="151" formatCode="General">
                  <c:v>3.0329999999999999</c:v>
                </c:pt>
                <c:pt idx="152" formatCode="General">
                  <c:v>3.004</c:v>
                </c:pt>
                <c:pt idx="153" formatCode="General">
                  <c:v>3.0350000000000001</c:v>
                </c:pt>
                <c:pt idx="154" formatCode="General">
                  <c:v>3.03</c:v>
                </c:pt>
                <c:pt idx="155" formatCode="General">
                  <c:v>2.97</c:v>
                </c:pt>
                <c:pt idx="156" formatCode="General">
                  <c:v>2.984</c:v>
                </c:pt>
                <c:pt idx="157" formatCode="General">
                  <c:v>2.996</c:v>
                </c:pt>
                <c:pt idx="158" formatCode="General">
                  <c:v>2.9889999999999999</c:v>
                </c:pt>
                <c:pt idx="159" formatCode="General">
                  <c:v>2.847</c:v>
                </c:pt>
                <c:pt idx="160" formatCode="General">
                  <c:v>2.81</c:v>
                </c:pt>
                <c:pt idx="161" formatCode="General">
                  <c:v>2.84</c:v>
                </c:pt>
                <c:pt idx="162" formatCode="General">
                  <c:v>2.8759999999999999</c:v>
                </c:pt>
                <c:pt idx="163" formatCode="General">
                  <c:v>2.8559999999999999</c:v>
                </c:pt>
                <c:pt idx="164" formatCode="General">
                  <c:v>2.831</c:v>
                </c:pt>
                <c:pt idx="165" formatCode="General">
                  <c:v>2.7719999999999998</c:v>
                </c:pt>
                <c:pt idx="166" formatCode="General">
                  <c:v>2.5859999999999999</c:v>
                </c:pt>
                <c:pt idx="167" formatCode="General">
                  <c:v>2.653</c:v>
                </c:pt>
                <c:pt idx="168" formatCode="General">
                  <c:v>2.64</c:v>
                </c:pt>
                <c:pt idx="169" formatCode="General">
                  <c:v>2.6379999999999999</c:v>
                </c:pt>
                <c:pt idx="170" formatCode="General">
                  <c:v>2.6629999999999998</c:v>
                </c:pt>
                <c:pt idx="171" formatCode="General">
                  <c:v>2.6920000000000002</c:v>
                </c:pt>
                <c:pt idx="172" formatCode="General">
                  <c:v>2.6880000000000002</c:v>
                </c:pt>
                <c:pt idx="173" formatCode="General">
                  <c:v>2.66</c:v>
                </c:pt>
                <c:pt idx="174" formatCode="General">
                  <c:v>2.6840000000000002</c:v>
                </c:pt>
                <c:pt idx="175" formatCode="General">
                  <c:v>2.657</c:v>
                </c:pt>
                <c:pt idx="176" formatCode="General">
                  <c:v>2.6680000000000001</c:v>
                </c:pt>
                <c:pt idx="177" formatCode="General">
                  <c:v>2.569</c:v>
                </c:pt>
                <c:pt idx="178" formatCode="General">
                  <c:v>2.6040000000000001</c:v>
                </c:pt>
                <c:pt idx="179" formatCode="General">
                  <c:v>2.6320000000000001</c:v>
                </c:pt>
                <c:pt idx="180" formatCode="General">
                  <c:v>2.6190000000000002</c:v>
                </c:pt>
                <c:pt idx="181" formatCode="General">
                  <c:v>2.61</c:v>
                </c:pt>
                <c:pt idx="182" formatCode="General">
                  <c:v>2.573</c:v>
                </c:pt>
                <c:pt idx="183" formatCode="General">
                  <c:v>2.569</c:v>
                </c:pt>
                <c:pt idx="184" formatCode="General">
                  <c:v>2.5880000000000001</c:v>
                </c:pt>
                <c:pt idx="185" formatCode="General">
                  <c:v>2.58</c:v>
                </c:pt>
                <c:pt idx="186" formatCode="General">
                  <c:v>2.6</c:v>
                </c:pt>
                <c:pt idx="187" formatCode="General">
                  <c:v>2.5590000000000002</c:v>
                </c:pt>
                <c:pt idx="188" formatCode="General">
                  <c:v>2.56</c:v>
                </c:pt>
                <c:pt idx="189" formatCode="General">
                  <c:v>2.5840000000000001</c:v>
                </c:pt>
                <c:pt idx="190" formatCode="General">
                  <c:v>2.5550000000000002</c:v>
                </c:pt>
                <c:pt idx="191" formatCode="General">
                  <c:v>2.5529999999999999</c:v>
                </c:pt>
                <c:pt idx="192" formatCode="General">
                  <c:v>2.5209999999999999</c:v>
                </c:pt>
                <c:pt idx="193" formatCode="General">
                  <c:v>2.5350000000000001</c:v>
                </c:pt>
                <c:pt idx="194" formatCode="General">
                  <c:v>2.5760000000000001</c:v>
                </c:pt>
                <c:pt idx="195" formatCode="General">
                  <c:v>2.589</c:v>
                </c:pt>
                <c:pt idx="196" formatCode="General">
                  <c:v>2.5990000000000002</c:v>
                </c:pt>
                <c:pt idx="197" formatCode="General">
                  <c:v>2.6120000000000001</c:v>
                </c:pt>
                <c:pt idx="198" formatCode="General">
                  <c:v>2.585</c:v>
                </c:pt>
                <c:pt idx="199" formatCode="General">
                  <c:v>2.5449999999999999</c:v>
                </c:pt>
                <c:pt idx="200" formatCode="General">
                  <c:v>2.5409999999999999</c:v>
                </c:pt>
                <c:pt idx="201" formatCode="General">
                  <c:v>2.52</c:v>
                </c:pt>
                <c:pt idx="202" formatCode="General">
                  <c:v>2.5150000000000001</c:v>
                </c:pt>
                <c:pt idx="203" formatCode="General">
                  <c:v>2.512</c:v>
                </c:pt>
                <c:pt idx="204" formatCode="General">
                  <c:v>2.488</c:v>
                </c:pt>
                <c:pt idx="205" formatCode="General">
                  <c:v>2.504</c:v>
                </c:pt>
                <c:pt idx="206" formatCode="General">
                  <c:v>2.42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E9B-4BF4-8AF1-02D0399DFDFF}"/>
            </c:ext>
          </c:extLst>
        </c:ser>
        <c:ser>
          <c:idx val="3"/>
          <c:order val="3"/>
          <c:tx>
            <c:strRef>
              <c:f>'Clean Swap Data'!$E$2</c:f>
              <c:strCache>
                <c:ptCount val="1"/>
                <c:pt idx="0">
                  <c:v>ICERATESUSD4Y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'Clean Swap Data'!$E$3:$E$210</c:f>
              <c:numCache>
                <c:formatCode>0.000</c:formatCode>
                <c:ptCount val="208"/>
                <c:pt idx="0">
                  <c:v>2.7440000000000002</c:v>
                </c:pt>
                <c:pt idx="1">
                  <c:v>2.746</c:v>
                </c:pt>
                <c:pt idx="2">
                  <c:v>2.7450000000000001</c:v>
                </c:pt>
                <c:pt idx="3">
                  <c:v>2.7250000000000001</c:v>
                </c:pt>
                <c:pt idx="4">
                  <c:v>2.6949999999999998</c:v>
                </c:pt>
                <c:pt idx="5">
                  <c:v>2.7010000000000001</c:v>
                </c:pt>
                <c:pt idx="6">
                  <c:v>2.7130000000000001</c:v>
                </c:pt>
                <c:pt idx="7">
                  <c:v>2.718</c:v>
                </c:pt>
                <c:pt idx="8">
                  <c:v>2.7530000000000001</c:v>
                </c:pt>
                <c:pt idx="9">
                  <c:v>2.7109999999999999</c:v>
                </c:pt>
                <c:pt idx="10">
                  <c:v>2.7240000000000002</c:v>
                </c:pt>
                <c:pt idx="11">
                  <c:v>2.73</c:v>
                </c:pt>
                <c:pt idx="12">
                  <c:v>2.7669999999999999</c:v>
                </c:pt>
                <c:pt idx="13">
                  <c:v>2.786</c:v>
                </c:pt>
                <c:pt idx="14">
                  <c:v>2.8039999999999998</c:v>
                </c:pt>
                <c:pt idx="15">
                  <c:v>2.802</c:v>
                </c:pt>
                <c:pt idx="16">
                  <c:v>2.8149999999999999</c:v>
                </c:pt>
                <c:pt idx="17">
                  <c:v>2.8490000000000002</c:v>
                </c:pt>
                <c:pt idx="18">
                  <c:v>2.8740000000000001</c:v>
                </c:pt>
                <c:pt idx="19">
                  <c:v>2.899</c:v>
                </c:pt>
                <c:pt idx="20">
                  <c:v>2.9159999999999999</c:v>
                </c:pt>
                <c:pt idx="21">
                  <c:v>2.903</c:v>
                </c:pt>
                <c:pt idx="22">
                  <c:v>2.8759999999999999</c:v>
                </c:pt>
                <c:pt idx="23" formatCode="General">
                  <c:v>2.8889999999999998</c:v>
                </c:pt>
                <c:pt idx="24" formatCode="General">
                  <c:v>2.903</c:v>
                </c:pt>
                <c:pt idx="25" formatCode="General">
                  <c:v>2.9119999999999999</c:v>
                </c:pt>
                <c:pt idx="26" formatCode="General">
                  <c:v>2.871</c:v>
                </c:pt>
                <c:pt idx="27" formatCode="General">
                  <c:v>2.8839999999999999</c:v>
                </c:pt>
                <c:pt idx="28" formatCode="General">
                  <c:v>2.8980000000000001</c:v>
                </c:pt>
                <c:pt idx="29" formatCode="General">
                  <c:v>2.9140000000000001</c:v>
                </c:pt>
                <c:pt idx="30" formatCode="General">
                  <c:v>2.9209999999999998</c:v>
                </c:pt>
                <c:pt idx="31" formatCode="General">
                  <c:v>2.9129999999999998</c:v>
                </c:pt>
                <c:pt idx="32" formatCode="General">
                  <c:v>2.911</c:v>
                </c:pt>
                <c:pt idx="33" formatCode="General">
                  <c:v>2.9009999999999998</c:v>
                </c:pt>
                <c:pt idx="34" formatCode="General">
                  <c:v>2.9470000000000001</c:v>
                </c:pt>
                <c:pt idx="35" formatCode="General">
                  <c:v>2.9830000000000001</c:v>
                </c:pt>
                <c:pt idx="36" formatCode="General">
                  <c:v>2.9969999999999999</c:v>
                </c:pt>
                <c:pt idx="37" formatCode="General">
                  <c:v>2.952</c:v>
                </c:pt>
                <c:pt idx="38" formatCode="General">
                  <c:v>2.97</c:v>
                </c:pt>
                <c:pt idx="39" formatCode="General">
                  <c:v>2.9689999999999999</c:v>
                </c:pt>
                <c:pt idx="40" formatCode="General">
                  <c:v>2.867</c:v>
                </c:pt>
                <c:pt idx="41" formatCode="General">
                  <c:v>2.8519999999999999</c:v>
                </c:pt>
                <c:pt idx="42" formatCode="General">
                  <c:v>2.742</c:v>
                </c:pt>
                <c:pt idx="43" formatCode="General">
                  <c:v>2.8809999999999998</c:v>
                </c:pt>
                <c:pt idx="44" formatCode="General">
                  <c:v>2.8839999999999999</c:v>
                </c:pt>
                <c:pt idx="45" formatCode="General">
                  <c:v>2.9140000000000001</c:v>
                </c:pt>
                <c:pt idx="46" formatCode="General">
                  <c:v>2.919</c:v>
                </c:pt>
                <c:pt idx="47" formatCode="General">
                  <c:v>2.9239999999999999</c:v>
                </c:pt>
                <c:pt idx="48" formatCode="General">
                  <c:v>2.9</c:v>
                </c:pt>
                <c:pt idx="49" formatCode="General">
                  <c:v>2.9079999999999999</c:v>
                </c:pt>
                <c:pt idx="50" formatCode="General">
                  <c:v>2.91</c:v>
                </c:pt>
                <c:pt idx="51" formatCode="General">
                  <c:v>2.903</c:v>
                </c:pt>
                <c:pt idx="52" formatCode="General">
                  <c:v>2.8809999999999998</c:v>
                </c:pt>
                <c:pt idx="53" formatCode="General">
                  <c:v>2.8780000000000001</c:v>
                </c:pt>
                <c:pt idx="54" formatCode="General">
                  <c:v>2.8620000000000001</c:v>
                </c:pt>
                <c:pt idx="55" formatCode="General">
                  <c:v>2.88</c:v>
                </c:pt>
                <c:pt idx="56" formatCode="General">
                  <c:v>2.8860000000000001</c:v>
                </c:pt>
                <c:pt idx="57" formatCode="General">
                  <c:v>2.8780000000000001</c:v>
                </c:pt>
                <c:pt idx="58" formatCode="General">
                  <c:v>2.879</c:v>
                </c:pt>
                <c:pt idx="59" formatCode="General">
                  <c:v>2.8759999999999999</c:v>
                </c:pt>
                <c:pt idx="60" formatCode="General">
                  <c:v>2.891</c:v>
                </c:pt>
                <c:pt idx="61" formatCode="General">
                  <c:v>2.899</c:v>
                </c:pt>
                <c:pt idx="62" formatCode="General">
                  <c:v>2.8980000000000001</c:v>
                </c:pt>
                <c:pt idx="63" formatCode="General">
                  <c:v>2.8889999999999998</c:v>
                </c:pt>
                <c:pt idx="64" formatCode="General">
                  <c:v>2.8719999999999999</c:v>
                </c:pt>
                <c:pt idx="65" formatCode="General">
                  <c:v>2.91</c:v>
                </c:pt>
                <c:pt idx="66" formatCode="General">
                  <c:v>2.8969999999999998</c:v>
                </c:pt>
                <c:pt idx="67" formatCode="General">
                  <c:v>2.8980000000000001</c:v>
                </c:pt>
                <c:pt idx="68" formatCode="General">
                  <c:v>2.8969999999999998</c:v>
                </c:pt>
                <c:pt idx="69" formatCode="General">
                  <c:v>2.8980000000000001</c:v>
                </c:pt>
                <c:pt idx="70" formatCode="General">
                  <c:v>2.9260000000000002</c:v>
                </c:pt>
                <c:pt idx="71" formatCode="General">
                  <c:v>2.9489999999999998</c:v>
                </c:pt>
                <c:pt idx="72" formatCode="General">
                  <c:v>2.9369999999999998</c:v>
                </c:pt>
                <c:pt idx="73" formatCode="General">
                  <c:v>2.9550000000000001</c:v>
                </c:pt>
                <c:pt idx="74" formatCode="General">
                  <c:v>2.9609999999999999</c:v>
                </c:pt>
                <c:pt idx="75" formatCode="General">
                  <c:v>2.9740000000000002</c:v>
                </c:pt>
                <c:pt idx="76" formatCode="General">
                  <c:v>2.9660000000000002</c:v>
                </c:pt>
                <c:pt idx="77" formatCode="General">
                  <c:v>2.996</c:v>
                </c:pt>
                <c:pt idx="78" formatCode="General">
                  <c:v>2.9809999999999999</c:v>
                </c:pt>
                <c:pt idx="79" formatCode="General">
                  <c:v>2.9529999999999998</c:v>
                </c:pt>
                <c:pt idx="80" formatCode="General">
                  <c:v>2.9369999999999998</c:v>
                </c:pt>
                <c:pt idx="81" formatCode="General">
                  <c:v>2.96</c:v>
                </c:pt>
                <c:pt idx="82" formatCode="General">
                  <c:v>2.9540000000000002</c:v>
                </c:pt>
                <c:pt idx="83" formatCode="General">
                  <c:v>2.9289999999999998</c:v>
                </c:pt>
                <c:pt idx="84" formatCode="General">
                  <c:v>2.875</c:v>
                </c:pt>
                <c:pt idx="85" formatCode="General">
                  <c:v>2.891</c:v>
                </c:pt>
                <c:pt idx="86" formatCode="General">
                  <c:v>2.843</c:v>
                </c:pt>
                <c:pt idx="87" formatCode="General">
                  <c:v>2.8809999999999998</c:v>
                </c:pt>
                <c:pt idx="88" formatCode="General">
                  <c:v>2.87</c:v>
                </c:pt>
                <c:pt idx="89" formatCode="General">
                  <c:v>2.8519999999999999</c:v>
                </c:pt>
                <c:pt idx="90" formatCode="General">
                  <c:v>2.86</c:v>
                </c:pt>
                <c:pt idx="91" formatCode="General">
                  <c:v>2.8490000000000002</c:v>
                </c:pt>
                <c:pt idx="92" formatCode="General">
                  <c:v>2.8450000000000002</c:v>
                </c:pt>
                <c:pt idx="93" formatCode="General">
                  <c:v>2.8570000000000002</c:v>
                </c:pt>
                <c:pt idx="94" formatCode="General">
                  <c:v>2.8719999999999999</c:v>
                </c:pt>
                <c:pt idx="95" formatCode="General">
                  <c:v>2.895</c:v>
                </c:pt>
                <c:pt idx="96" formatCode="General">
                  <c:v>2.9119999999999999</c:v>
                </c:pt>
                <c:pt idx="97" formatCode="General">
                  <c:v>2.9</c:v>
                </c:pt>
                <c:pt idx="98" formatCode="General">
                  <c:v>2.8740000000000001</c:v>
                </c:pt>
                <c:pt idx="99" formatCode="General">
                  <c:v>2.9</c:v>
                </c:pt>
                <c:pt idx="100" formatCode="General">
                  <c:v>2.8980000000000001</c:v>
                </c:pt>
                <c:pt idx="101" formatCode="General">
                  <c:v>2.879</c:v>
                </c:pt>
                <c:pt idx="102" formatCode="General">
                  <c:v>2.9460000000000002</c:v>
                </c:pt>
                <c:pt idx="103" formatCode="General">
                  <c:v>2.95</c:v>
                </c:pt>
                <c:pt idx="104" formatCode="General">
                  <c:v>2.984</c:v>
                </c:pt>
                <c:pt idx="105" formatCode="General">
                  <c:v>2.98</c:v>
                </c:pt>
                <c:pt idx="106" formatCode="General">
                  <c:v>2.9860000000000002</c:v>
                </c:pt>
                <c:pt idx="107" formatCode="General">
                  <c:v>3.02</c:v>
                </c:pt>
                <c:pt idx="108" formatCode="General">
                  <c:v>3.0150000000000001</c:v>
                </c:pt>
                <c:pt idx="109" formatCode="General">
                  <c:v>3.03</c:v>
                </c:pt>
                <c:pt idx="110" formatCode="General">
                  <c:v>3.0659999999999998</c:v>
                </c:pt>
                <c:pt idx="111" formatCode="General">
                  <c:v>3.07</c:v>
                </c:pt>
                <c:pt idx="112" formatCode="General">
                  <c:v>3.069</c:v>
                </c:pt>
                <c:pt idx="113" formatCode="General">
                  <c:v>3.0649999999999999</c:v>
                </c:pt>
                <c:pt idx="114" formatCode="General">
                  <c:v>3.1019999999999999</c:v>
                </c:pt>
                <c:pt idx="115" formatCode="General">
                  <c:v>3.0790000000000002</c:v>
                </c:pt>
                <c:pt idx="116" formatCode="General">
                  <c:v>3.0569999999999999</c:v>
                </c:pt>
                <c:pt idx="117" formatCode="General">
                  <c:v>3.0649999999999999</c:v>
                </c:pt>
                <c:pt idx="118" formatCode="General">
                  <c:v>3.0489999999999999</c:v>
                </c:pt>
                <c:pt idx="119" formatCode="General">
                  <c:v>3.089</c:v>
                </c:pt>
                <c:pt idx="120" formatCode="General">
                  <c:v>3.1520000000000001</c:v>
                </c:pt>
                <c:pt idx="121" formatCode="General">
                  <c:v>3.173</c:v>
                </c:pt>
                <c:pt idx="122" formatCode="General">
                  <c:v>3.1680000000000001</c:v>
                </c:pt>
                <c:pt idx="123" formatCode="General">
                  <c:v>3.177</c:v>
                </c:pt>
                <c:pt idx="124" formatCode="General">
                  <c:v>3.1349999999999998</c:v>
                </c:pt>
                <c:pt idx="125" formatCode="General">
                  <c:v>3.133</c:v>
                </c:pt>
                <c:pt idx="126" formatCode="General">
                  <c:v>3.1269999999999998</c:v>
                </c:pt>
                <c:pt idx="127" formatCode="General">
                  <c:v>3.1520000000000001</c:v>
                </c:pt>
                <c:pt idx="128" formatCode="General">
                  <c:v>3.1419999999999999</c:v>
                </c:pt>
                <c:pt idx="129" formatCode="General">
                  <c:v>3.202</c:v>
                </c:pt>
                <c:pt idx="130" formatCode="General">
                  <c:v>3.1850000000000001</c:v>
                </c:pt>
                <c:pt idx="131" formatCode="General">
                  <c:v>3.1850000000000001</c:v>
                </c:pt>
                <c:pt idx="132" formatCode="General">
                  <c:v>3.1120000000000001</c:v>
                </c:pt>
                <c:pt idx="133" formatCode="General">
                  <c:v>3.1110000000000002</c:v>
                </c:pt>
                <c:pt idx="134" formatCode="General">
                  <c:v>3.12</c:v>
                </c:pt>
                <c:pt idx="135" formatCode="General">
                  <c:v>3.0289999999999999</c:v>
                </c:pt>
                <c:pt idx="136" formatCode="General">
                  <c:v>3.0950000000000002</c:v>
                </c:pt>
                <c:pt idx="137" formatCode="General">
                  <c:v>3.081</c:v>
                </c:pt>
                <c:pt idx="138" formatCode="General">
                  <c:v>3.125</c:v>
                </c:pt>
                <c:pt idx="139" formatCode="General">
                  <c:v>3.1280000000000001</c:v>
                </c:pt>
                <c:pt idx="140" formatCode="General">
                  <c:v>3.1539999999999999</c:v>
                </c:pt>
                <c:pt idx="141" formatCode="General">
                  <c:v>3.1589999999999998</c:v>
                </c:pt>
                <c:pt idx="142" formatCode="General">
                  <c:v>3.1659999999999999</c:v>
                </c:pt>
                <c:pt idx="143" formatCode="General">
                  <c:v>3.1720000000000002</c:v>
                </c:pt>
                <c:pt idx="144" formatCode="General">
                  <c:v>3.19</c:v>
                </c:pt>
                <c:pt idx="145" formatCode="General">
                  <c:v>3.169</c:v>
                </c:pt>
                <c:pt idx="146" formatCode="General">
                  <c:v>3.133</c:v>
                </c:pt>
                <c:pt idx="147" formatCode="General">
                  <c:v>3.0569999999999999</c:v>
                </c:pt>
                <c:pt idx="148" formatCode="General">
                  <c:v>3.0459999999999998</c:v>
                </c:pt>
                <c:pt idx="149" formatCode="General">
                  <c:v>3.008</c:v>
                </c:pt>
                <c:pt idx="150" formatCode="General">
                  <c:v>3.0110000000000001</c:v>
                </c:pt>
                <c:pt idx="151" formatCode="General">
                  <c:v>3.0379999999999998</c:v>
                </c:pt>
                <c:pt idx="152" formatCode="General">
                  <c:v>3.008</c:v>
                </c:pt>
                <c:pt idx="153" formatCode="General">
                  <c:v>3.0379999999999998</c:v>
                </c:pt>
                <c:pt idx="154" formatCode="General">
                  <c:v>3.0289999999999999</c:v>
                </c:pt>
                <c:pt idx="155" formatCode="General">
                  <c:v>2.968</c:v>
                </c:pt>
                <c:pt idx="156" formatCode="General">
                  <c:v>2.9790000000000001</c:v>
                </c:pt>
                <c:pt idx="157" formatCode="General">
                  <c:v>2.9870000000000001</c:v>
                </c:pt>
                <c:pt idx="158" formatCode="General">
                  <c:v>2.9729999999999999</c:v>
                </c:pt>
                <c:pt idx="159" formatCode="General">
                  <c:v>2.831</c:v>
                </c:pt>
                <c:pt idx="160" formatCode="General">
                  <c:v>2.7959999999999998</c:v>
                </c:pt>
                <c:pt idx="161" formatCode="General">
                  <c:v>2.823</c:v>
                </c:pt>
                <c:pt idx="162" formatCode="General">
                  <c:v>2.8620000000000001</c:v>
                </c:pt>
                <c:pt idx="163" formatCode="General">
                  <c:v>2.84</c:v>
                </c:pt>
                <c:pt idx="164" formatCode="General">
                  <c:v>2.8159999999999998</c:v>
                </c:pt>
                <c:pt idx="165" formatCode="General">
                  <c:v>2.7610000000000001</c:v>
                </c:pt>
                <c:pt idx="166" formatCode="General">
                  <c:v>2.5619999999999998</c:v>
                </c:pt>
                <c:pt idx="167" formatCode="General">
                  <c:v>2.629</c:v>
                </c:pt>
                <c:pt idx="168" formatCode="General">
                  <c:v>2.62</c:v>
                </c:pt>
                <c:pt idx="169" formatCode="General">
                  <c:v>2.6139999999999999</c:v>
                </c:pt>
                <c:pt idx="170" formatCode="General">
                  <c:v>2.641</c:v>
                </c:pt>
                <c:pt idx="171" formatCode="General">
                  <c:v>2.6709999999999998</c:v>
                </c:pt>
                <c:pt idx="172" formatCode="General">
                  <c:v>2.665</c:v>
                </c:pt>
                <c:pt idx="173" formatCode="General">
                  <c:v>2.6320000000000001</c:v>
                </c:pt>
                <c:pt idx="174" formatCode="General">
                  <c:v>2.6589999999999998</c:v>
                </c:pt>
                <c:pt idx="175" formatCode="General">
                  <c:v>2.6309999999999998</c:v>
                </c:pt>
                <c:pt idx="176" formatCode="General">
                  <c:v>2.6429999999999998</c:v>
                </c:pt>
                <c:pt idx="177" formatCode="General">
                  <c:v>2.5449999999999999</c:v>
                </c:pt>
                <c:pt idx="178" formatCode="General">
                  <c:v>2.5870000000000002</c:v>
                </c:pt>
                <c:pt idx="179" formatCode="General">
                  <c:v>2.617</c:v>
                </c:pt>
                <c:pt idx="180" formatCode="General">
                  <c:v>2.5979999999999999</c:v>
                </c:pt>
                <c:pt idx="181" formatCode="General">
                  <c:v>2.5880000000000001</c:v>
                </c:pt>
                <c:pt idx="182" formatCode="General">
                  <c:v>2.5529999999999999</c:v>
                </c:pt>
                <c:pt idx="183" formatCode="General">
                  <c:v>2.5499999999999998</c:v>
                </c:pt>
                <c:pt idx="184" formatCode="General">
                  <c:v>2.5710000000000002</c:v>
                </c:pt>
                <c:pt idx="185" formatCode="General">
                  <c:v>2.5590000000000002</c:v>
                </c:pt>
                <c:pt idx="186" formatCode="General">
                  <c:v>2.5790000000000002</c:v>
                </c:pt>
                <c:pt idx="187" formatCode="General">
                  <c:v>2.5369999999999999</c:v>
                </c:pt>
                <c:pt idx="188" formatCode="General">
                  <c:v>2.5419999999999998</c:v>
                </c:pt>
                <c:pt idx="189" formatCode="General">
                  <c:v>2.569</c:v>
                </c:pt>
                <c:pt idx="190" formatCode="General">
                  <c:v>2.5379999999999998</c:v>
                </c:pt>
                <c:pt idx="191" formatCode="General">
                  <c:v>2.536</c:v>
                </c:pt>
                <c:pt idx="192" formatCode="General">
                  <c:v>2.5049999999999999</c:v>
                </c:pt>
                <c:pt idx="193" formatCode="General">
                  <c:v>2.5209999999999999</c:v>
                </c:pt>
                <c:pt idx="194" formatCode="General">
                  <c:v>2.5649999999999999</c:v>
                </c:pt>
                <c:pt idx="195" formatCode="General">
                  <c:v>2.5760000000000001</c:v>
                </c:pt>
                <c:pt idx="196" formatCode="General">
                  <c:v>2.5840000000000001</c:v>
                </c:pt>
                <c:pt idx="197" formatCode="General">
                  <c:v>2.5939999999999999</c:v>
                </c:pt>
                <c:pt idx="198" formatCode="General">
                  <c:v>2.5649999999999999</c:v>
                </c:pt>
                <c:pt idx="199" formatCode="General">
                  <c:v>2.5209999999999999</c:v>
                </c:pt>
                <c:pt idx="200" formatCode="General">
                  <c:v>2.5150000000000001</c:v>
                </c:pt>
                <c:pt idx="201" formatCode="General">
                  <c:v>2.496</c:v>
                </c:pt>
                <c:pt idx="202" formatCode="General">
                  <c:v>2.4900000000000002</c:v>
                </c:pt>
                <c:pt idx="203" formatCode="General">
                  <c:v>2.488</c:v>
                </c:pt>
                <c:pt idx="204" formatCode="General">
                  <c:v>2.4620000000000002</c:v>
                </c:pt>
                <c:pt idx="205" formatCode="General">
                  <c:v>2.4769999999999999</c:v>
                </c:pt>
                <c:pt idx="206" formatCode="General">
                  <c:v>2.3879999999999999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E9B-4BF4-8AF1-02D0399DFDFF}"/>
            </c:ext>
          </c:extLst>
        </c:ser>
        <c:ser>
          <c:idx val="4"/>
          <c:order val="4"/>
          <c:tx>
            <c:strRef>
              <c:f>'Clean Swap Data'!$F$2</c:f>
              <c:strCache>
                <c:ptCount val="1"/>
                <c:pt idx="0">
                  <c:v>ICERATESUSD5Y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'Clean Swap Data'!$F$3:$F$210</c:f>
              <c:numCache>
                <c:formatCode>0.000</c:formatCode>
                <c:ptCount val="208"/>
                <c:pt idx="0">
                  <c:v>2.7709999999999999</c:v>
                </c:pt>
                <c:pt idx="1">
                  <c:v>2.774</c:v>
                </c:pt>
                <c:pt idx="2">
                  <c:v>2.77</c:v>
                </c:pt>
                <c:pt idx="3">
                  <c:v>2.754</c:v>
                </c:pt>
                <c:pt idx="4">
                  <c:v>2.714</c:v>
                </c:pt>
                <c:pt idx="5">
                  <c:v>2.7229999999999999</c:v>
                </c:pt>
                <c:pt idx="6">
                  <c:v>2.7330000000000001</c:v>
                </c:pt>
                <c:pt idx="7">
                  <c:v>2.7389999999999999</c:v>
                </c:pt>
                <c:pt idx="8">
                  <c:v>2.7789999999999999</c:v>
                </c:pt>
                <c:pt idx="9">
                  <c:v>2.7330000000000001</c:v>
                </c:pt>
                <c:pt idx="10">
                  <c:v>2.75</c:v>
                </c:pt>
                <c:pt idx="11">
                  <c:v>2.7509999999999999</c:v>
                </c:pt>
                <c:pt idx="12">
                  <c:v>2.7879999999999998</c:v>
                </c:pt>
                <c:pt idx="13">
                  <c:v>2.8039999999999998</c:v>
                </c:pt>
                <c:pt idx="14">
                  <c:v>2.819</c:v>
                </c:pt>
                <c:pt idx="15">
                  <c:v>2.8149999999999999</c:v>
                </c:pt>
                <c:pt idx="16">
                  <c:v>2.8290000000000002</c:v>
                </c:pt>
                <c:pt idx="17">
                  <c:v>2.87</c:v>
                </c:pt>
                <c:pt idx="18">
                  <c:v>2.899</c:v>
                </c:pt>
                <c:pt idx="19">
                  <c:v>2.9279999999999999</c:v>
                </c:pt>
                <c:pt idx="20">
                  <c:v>2.9510000000000001</c:v>
                </c:pt>
                <c:pt idx="21">
                  <c:v>2.9350000000000001</c:v>
                </c:pt>
                <c:pt idx="22">
                  <c:v>2.9049999999999998</c:v>
                </c:pt>
                <c:pt idx="23" formatCode="General">
                  <c:v>2.9140000000000001</c:v>
                </c:pt>
                <c:pt idx="24" formatCode="General">
                  <c:v>2.9289999999999998</c:v>
                </c:pt>
                <c:pt idx="25" formatCode="General">
                  <c:v>2.9340000000000002</c:v>
                </c:pt>
                <c:pt idx="26" formatCode="General">
                  <c:v>2.8929999999999998</c:v>
                </c:pt>
                <c:pt idx="27" formatCode="General">
                  <c:v>2.9060000000000001</c:v>
                </c:pt>
                <c:pt idx="28" formatCode="General">
                  <c:v>2.9180000000000001</c:v>
                </c:pt>
                <c:pt idx="29" formatCode="General">
                  <c:v>2.9380000000000002</c:v>
                </c:pt>
                <c:pt idx="30" formatCode="General">
                  <c:v>2.9470000000000001</c:v>
                </c:pt>
                <c:pt idx="31" formatCode="General">
                  <c:v>2.9369999999999998</c:v>
                </c:pt>
                <c:pt idx="32" formatCode="General">
                  <c:v>2.9369999999999998</c:v>
                </c:pt>
                <c:pt idx="33" formatCode="General">
                  <c:v>2.931</c:v>
                </c:pt>
                <c:pt idx="34" formatCode="General">
                  <c:v>2.9809999999999999</c:v>
                </c:pt>
                <c:pt idx="35" formatCode="General">
                  <c:v>3.02</c:v>
                </c:pt>
                <c:pt idx="36" formatCode="General">
                  <c:v>3.0339999999999998</c:v>
                </c:pt>
                <c:pt idx="37" formatCode="General">
                  <c:v>2.9889999999999999</c:v>
                </c:pt>
                <c:pt idx="38" formatCode="General">
                  <c:v>3.0030000000000001</c:v>
                </c:pt>
                <c:pt idx="39" formatCode="General">
                  <c:v>3.0009999999999999</c:v>
                </c:pt>
                <c:pt idx="40" formatCode="General">
                  <c:v>2.8940000000000001</c:v>
                </c:pt>
                <c:pt idx="41" formatCode="General">
                  <c:v>2.8759999999999999</c:v>
                </c:pt>
                <c:pt idx="42" formatCode="General">
                  <c:v>2.77</c:v>
                </c:pt>
                <c:pt idx="43" formatCode="General">
                  <c:v>2.903</c:v>
                </c:pt>
                <c:pt idx="44" formatCode="General">
                  <c:v>2.9039999999999999</c:v>
                </c:pt>
                <c:pt idx="45" formatCode="General">
                  <c:v>2.9390000000000001</c:v>
                </c:pt>
                <c:pt idx="46" formatCode="General">
                  <c:v>2.9390000000000001</c:v>
                </c:pt>
                <c:pt idx="47" formatCode="General">
                  <c:v>2.9340000000000002</c:v>
                </c:pt>
                <c:pt idx="48" formatCode="General">
                  <c:v>2.9079999999999999</c:v>
                </c:pt>
                <c:pt idx="49" formatCode="General">
                  <c:v>2.9180000000000001</c:v>
                </c:pt>
                <c:pt idx="50" formatCode="General">
                  <c:v>2.92</c:v>
                </c:pt>
                <c:pt idx="51" formatCode="General">
                  <c:v>2.9140000000000001</c:v>
                </c:pt>
                <c:pt idx="52" formatCode="General">
                  <c:v>2.89</c:v>
                </c:pt>
                <c:pt idx="53" formatCode="General">
                  <c:v>2.8879999999999999</c:v>
                </c:pt>
                <c:pt idx="54" formatCode="General">
                  <c:v>2.87</c:v>
                </c:pt>
                <c:pt idx="55" formatCode="General">
                  <c:v>2.8860000000000001</c:v>
                </c:pt>
                <c:pt idx="56" formatCode="General">
                  <c:v>2.8929999999999998</c:v>
                </c:pt>
                <c:pt idx="57" formatCode="General">
                  <c:v>2.8820000000000001</c:v>
                </c:pt>
                <c:pt idx="58" formatCode="General">
                  <c:v>2.88</c:v>
                </c:pt>
                <c:pt idx="59" formatCode="General">
                  <c:v>2.879</c:v>
                </c:pt>
                <c:pt idx="60" formatCode="General">
                  <c:v>2.8959999999999999</c:v>
                </c:pt>
                <c:pt idx="61" formatCode="General">
                  <c:v>2.9039999999999999</c:v>
                </c:pt>
                <c:pt idx="62" formatCode="General">
                  <c:v>2.9</c:v>
                </c:pt>
                <c:pt idx="63" formatCode="General">
                  <c:v>2.89</c:v>
                </c:pt>
                <c:pt idx="64" formatCode="General">
                  <c:v>2.8740000000000001</c:v>
                </c:pt>
                <c:pt idx="65" formatCode="General">
                  <c:v>2.9049999999999998</c:v>
                </c:pt>
                <c:pt idx="66" formatCode="General">
                  <c:v>2.899</c:v>
                </c:pt>
                <c:pt idx="67" formatCode="General">
                  <c:v>2.9</c:v>
                </c:pt>
                <c:pt idx="68" formatCode="General">
                  <c:v>2.9</c:v>
                </c:pt>
                <c:pt idx="69" formatCode="General">
                  <c:v>2.9049999999999998</c:v>
                </c:pt>
                <c:pt idx="70" formatCode="General">
                  <c:v>2.94</c:v>
                </c:pt>
                <c:pt idx="71" formatCode="General">
                  <c:v>2.9620000000000002</c:v>
                </c:pt>
                <c:pt idx="72" formatCode="General">
                  <c:v>2.948</c:v>
                </c:pt>
                <c:pt idx="73" formatCode="General">
                  <c:v>2.9660000000000002</c:v>
                </c:pt>
                <c:pt idx="74" formatCode="General">
                  <c:v>2.97</c:v>
                </c:pt>
                <c:pt idx="75" formatCode="General">
                  <c:v>2.9849999999999999</c:v>
                </c:pt>
                <c:pt idx="76" formatCode="General">
                  <c:v>2.9769999999999999</c:v>
                </c:pt>
                <c:pt idx="77" formatCode="General">
                  <c:v>3.0110000000000001</c:v>
                </c:pt>
                <c:pt idx="78" formatCode="General">
                  <c:v>2.9950000000000001</c:v>
                </c:pt>
                <c:pt idx="79" formatCode="General">
                  <c:v>2.9649999999999999</c:v>
                </c:pt>
                <c:pt idx="80" formatCode="General">
                  <c:v>2.9470000000000001</c:v>
                </c:pt>
                <c:pt idx="81" formatCode="General">
                  <c:v>2.97</c:v>
                </c:pt>
                <c:pt idx="82" formatCode="General">
                  <c:v>2.9649999999999999</c:v>
                </c:pt>
                <c:pt idx="83" formatCode="General">
                  <c:v>2.9359999999999999</c:v>
                </c:pt>
                <c:pt idx="84" formatCode="General">
                  <c:v>2.883</c:v>
                </c:pt>
                <c:pt idx="85" formatCode="General">
                  <c:v>2.899</c:v>
                </c:pt>
                <c:pt idx="86" formatCode="General">
                  <c:v>2.8490000000000002</c:v>
                </c:pt>
                <c:pt idx="87" formatCode="General">
                  <c:v>2.8879999999999999</c:v>
                </c:pt>
                <c:pt idx="88" formatCode="General">
                  <c:v>2.8759999999999999</c:v>
                </c:pt>
                <c:pt idx="89" formatCode="General">
                  <c:v>2.8559999999999999</c:v>
                </c:pt>
                <c:pt idx="90" formatCode="General">
                  <c:v>2.8650000000000002</c:v>
                </c:pt>
                <c:pt idx="91" formatCode="General">
                  <c:v>2.8530000000000002</c:v>
                </c:pt>
                <c:pt idx="92" formatCode="General">
                  <c:v>2.8479999999999999</c:v>
                </c:pt>
                <c:pt idx="93" formatCode="General">
                  <c:v>2.859</c:v>
                </c:pt>
                <c:pt idx="94" formatCode="General">
                  <c:v>2.8730000000000002</c:v>
                </c:pt>
                <c:pt idx="95" formatCode="General">
                  <c:v>2.899</c:v>
                </c:pt>
                <c:pt idx="96" formatCode="General">
                  <c:v>2.915</c:v>
                </c:pt>
                <c:pt idx="97" formatCode="General">
                  <c:v>2.9009999999999998</c:v>
                </c:pt>
                <c:pt idx="98" formatCode="General">
                  <c:v>2.8740000000000001</c:v>
                </c:pt>
                <c:pt idx="99" formatCode="General">
                  <c:v>2.9049999999999998</c:v>
                </c:pt>
                <c:pt idx="100" formatCode="General">
                  <c:v>2.9039999999999999</c:v>
                </c:pt>
                <c:pt idx="101" formatCode="General">
                  <c:v>2.883</c:v>
                </c:pt>
                <c:pt idx="102" formatCode="General">
                  <c:v>2.9510000000000001</c:v>
                </c:pt>
                <c:pt idx="103" formatCode="General">
                  <c:v>2.9529999999999998</c:v>
                </c:pt>
                <c:pt idx="104" formatCode="General">
                  <c:v>2.9860000000000002</c:v>
                </c:pt>
                <c:pt idx="105" formatCode="General">
                  <c:v>2.9809999999999999</c:v>
                </c:pt>
                <c:pt idx="106" formatCode="General">
                  <c:v>2.988</c:v>
                </c:pt>
                <c:pt idx="107" formatCode="General">
                  <c:v>3.024</c:v>
                </c:pt>
                <c:pt idx="108" formatCode="General">
                  <c:v>3.0179999999999998</c:v>
                </c:pt>
                <c:pt idx="109" formatCode="General">
                  <c:v>3.0379999999999998</c:v>
                </c:pt>
                <c:pt idx="110" formatCode="General">
                  <c:v>3.0790000000000002</c:v>
                </c:pt>
                <c:pt idx="111" formatCode="General">
                  <c:v>3.0790000000000002</c:v>
                </c:pt>
                <c:pt idx="112" formatCode="General">
                  <c:v>3.077</c:v>
                </c:pt>
                <c:pt idx="113" formatCode="General">
                  <c:v>3.0739999999999998</c:v>
                </c:pt>
                <c:pt idx="114" formatCode="General">
                  <c:v>3.1120000000000001</c:v>
                </c:pt>
                <c:pt idx="115" formatCode="General">
                  <c:v>3.0830000000000002</c:v>
                </c:pt>
                <c:pt idx="116" formatCode="General">
                  <c:v>3.0619999999999998</c:v>
                </c:pt>
                <c:pt idx="117" formatCode="General">
                  <c:v>3.0710000000000002</c:v>
                </c:pt>
                <c:pt idx="118" formatCode="General">
                  <c:v>3.0529999999999999</c:v>
                </c:pt>
                <c:pt idx="119" formatCode="General">
                  <c:v>3.0950000000000002</c:v>
                </c:pt>
                <c:pt idx="120" formatCode="General">
                  <c:v>3.165</c:v>
                </c:pt>
                <c:pt idx="121" formatCode="General">
                  <c:v>3.1869999999999998</c:v>
                </c:pt>
                <c:pt idx="122" formatCode="General">
                  <c:v>3.18</c:v>
                </c:pt>
                <c:pt idx="123" formatCode="General">
                  <c:v>3.1909999999999998</c:v>
                </c:pt>
                <c:pt idx="124" formatCode="General">
                  <c:v>3.1429999999999998</c:v>
                </c:pt>
                <c:pt idx="125" formatCode="General">
                  <c:v>3.1419999999999999</c:v>
                </c:pt>
                <c:pt idx="126" formatCode="General">
                  <c:v>3.133</c:v>
                </c:pt>
                <c:pt idx="127" formatCode="General">
                  <c:v>3.1589999999999998</c:v>
                </c:pt>
                <c:pt idx="128" formatCode="General">
                  <c:v>3.149</c:v>
                </c:pt>
                <c:pt idx="129" formatCode="General">
                  <c:v>3.2069999999999999</c:v>
                </c:pt>
                <c:pt idx="130" formatCode="General">
                  <c:v>3.1909999999999998</c:v>
                </c:pt>
                <c:pt idx="131" formatCode="General">
                  <c:v>3.1909999999999998</c:v>
                </c:pt>
                <c:pt idx="132" formatCode="General">
                  <c:v>3.1160000000000001</c:v>
                </c:pt>
                <c:pt idx="133" formatCode="General">
                  <c:v>3.1139999999999999</c:v>
                </c:pt>
                <c:pt idx="134" formatCode="General">
                  <c:v>3.1230000000000002</c:v>
                </c:pt>
                <c:pt idx="135" formatCode="General">
                  <c:v>3.0310000000000001</c:v>
                </c:pt>
                <c:pt idx="136" formatCode="General">
                  <c:v>3.0990000000000002</c:v>
                </c:pt>
                <c:pt idx="137" formatCode="General">
                  <c:v>3.0880000000000001</c:v>
                </c:pt>
                <c:pt idx="138" formatCode="General">
                  <c:v>3.1309999999999998</c:v>
                </c:pt>
                <c:pt idx="139" formatCode="General">
                  <c:v>3.1339999999999999</c:v>
                </c:pt>
                <c:pt idx="140" formatCode="General">
                  <c:v>3.161</c:v>
                </c:pt>
                <c:pt idx="141" formatCode="General">
                  <c:v>3.1659999999999999</c:v>
                </c:pt>
                <c:pt idx="142" formatCode="General">
                  <c:v>3.1739999999999999</c:v>
                </c:pt>
                <c:pt idx="143" formatCode="General">
                  <c:v>3.177</c:v>
                </c:pt>
                <c:pt idx="144" formatCode="General">
                  <c:v>3.1949999999999998</c:v>
                </c:pt>
                <c:pt idx="145" formatCode="General">
                  <c:v>3.173</c:v>
                </c:pt>
                <c:pt idx="146" formatCode="General">
                  <c:v>3.1360000000000001</c:v>
                </c:pt>
                <c:pt idx="147" formatCode="General">
                  <c:v>3.06</c:v>
                </c:pt>
                <c:pt idx="148" formatCode="General">
                  <c:v>3.052</c:v>
                </c:pt>
                <c:pt idx="149" formatCode="General">
                  <c:v>3.016</c:v>
                </c:pt>
                <c:pt idx="150" formatCode="General">
                  <c:v>3.02</c:v>
                </c:pt>
                <c:pt idx="151" formatCode="General">
                  <c:v>3.0449999999999999</c:v>
                </c:pt>
                <c:pt idx="152" formatCode="General">
                  <c:v>3.0139999999999998</c:v>
                </c:pt>
                <c:pt idx="153" formatCode="General">
                  <c:v>3.044</c:v>
                </c:pt>
                <c:pt idx="154" formatCode="General">
                  <c:v>3.0329999999999999</c:v>
                </c:pt>
                <c:pt idx="155" formatCode="General">
                  <c:v>2.9689999999999999</c:v>
                </c:pt>
                <c:pt idx="156" formatCode="General">
                  <c:v>2.9780000000000002</c:v>
                </c:pt>
                <c:pt idx="157" formatCode="General">
                  <c:v>2.9830000000000001</c:v>
                </c:pt>
                <c:pt idx="158" formatCode="General">
                  <c:v>2.96</c:v>
                </c:pt>
                <c:pt idx="159" formatCode="General">
                  <c:v>2.8239999999999998</c:v>
                </c:pt>
                <c:pt idx="160" formatCode="General">
                  <c:v>2.7949999999999999</c:v>
                </c:pt>
                <c:pt idx="161" formatCode="General">
                  <c:v>2.8180000000000001</c:v>
                </c:pt>
                <c:pt idx="162" formatCode="General">
                  <c:v>2.859</c:v>
                </c:pt>
                <c:pt idx="163" formatCode="General">
                  <c:v>2.8380000000000001</c:v>
                </c:pt>
                <c:pt idx="164" formatCode="General">
                  <c:v>2.8140000000000001</c:v>
                </c:pt>
                <c:pt idx="165" formatCode="General">
                  <c:v>2.7639999999999998</c:v>
                </c:pt>
                <c:pt idx="166" formatCode="General">
                  <c:v>2.5659999999999998</c:v>
                </c:pt>
                <c:pt idx="167" formatCode="General">
                  <c:v>2.6309999999999998</c:v>
                </c:pt>
                <c:pt idx="168" formatCode="General">
                  <c:v>2.6230000000000002</c:v>
                </c:pt>
                <c:pt idx="169" formatCode="General">
                  <c:v>2.6160000000000001</c:v>
                </c:pt>
                <c:pt idx="170" formatCode="General">
                  <c:v>2.6440000000000001</c:v>
                </c:pt>
                <c:pt idx="171" formatCode="General">
                  <c:v>2.6739999999999999</c:v>
                </c:pt>
                <c:pt idx="172" formatCode="General">
                  <c:v>2.6680000000000001</c:v>
                </c:pt>
                <c:pt idx="173" formatCode="General">
                  <c:v>2.633</c:v>
                </c:pt>
                <c:pt idx="174" formatCode="General">
                  <c:v>2.6619999999999999</c:v>
                </c:pt>
                <c:pt idx="175" formatCode="General">
                  <c:v>2.6339999999999999</c:v>
                </c:pt>
                <c:pt idx="176" formatCode="General">
                  <c:v>2.645</c:v>
                </c:pt>
                <c:pt idx="177" formatCode="General">
                  <c:v>2.5499999999999998</c:v>
                </c:pt>
                <c:pt idx="178" formatCode="General">
                  <c:v>2.59</c:v>
                </c:pt>
                <c:pt idx="179" formatCode="General">
                  <c:v>2.6269999999999998</c:v>
                </c:pt>
                <c:pt idx="180" formatCode="General">
                  <c:v>2.6030000000000002</c:v>
                </c:pt>
                <c:pt idx="181" formatCode="General">
                  <c:v>2.5910000000000002</c:v>
                </c:pt>
                <c:pt idx="182" formatCode="General">
                  <c:v>2.5590000000000002</c:v>
                </c:pt>
                <c:pt idx="183" formatCode="General">
                  <c:v>2.5550000000000002</c:v>
                </c:pt>
                <c:pt idx="184" formatCode="General">
                  <c:v>2.5790000000000002</c:v>
                </c:pt>
                <c:pt idx="185" formatCode="General">
                  <c:v>2.5609999999999999</c:v>
                </c:pt>
                <c:pt idx="186" formatCode="General">
                  <c:v>2.5830000000000002</c:v>
                </c:pt>
                <c:pt idx="187" formatCode="General">
                  <c:v>2.54</c:v>
                </c:pt>
                <c:pt idx="188" formatCode="General">
                  <c:v>2.5459999999999998</c:v>
                </c:pt>
                <c:pt idx="189" formatCode="General">
                  <c:v>2.5750000000000002</c:v>
                </c:pt>
                <c:pt idx="190" formatCode="General">
                  <c:v>2.5419999999999998</c:v>
                </c:pt>
                <c:pt idx="191" formatCode="General">
                  <c:v>2.544</c:v>
                </c:pt>
                <c:pt idx="192" formatCode="General">
                  <c:v>2.512</c:v>
                </c:pt>
                <c:pt idx="193" formatCode="General">
                  <c:v>2.5339999999999998</c:v>
                </c:pt>
                <c:pt idx="194" formatCode="General">
                  <c:v>2.577</c:v>
                </c:pt>
                <c:pt idx="195" formatCode="General">
                  <c:v>2.5880000000000001</c:v>
                </c:pt>
                <c:pt idx="196" formatCode="General">
                  <c:v>2.5939999999999999</c:v>
                </c:pt>
                <c:pt idx="197" formatCode="General">
                  <c:v>2.601</c:v>
                </c:pt>
                <c:pt idx="198" formatCode="General">
                  <c:v>2.57</c:v>
                </c:pt>
                <c:pt idx="199" formatCode="General">
                  <c:v>2.524</c:v>
                </c:pt>
                <c:pt idx="200" formatCode="General">
                  <c:v>2.516</c:v>
                </c:pt>
                <c:pt idx="201" formatCode="General">
                  <c:v>2.4980000000000002</c:v>
                </c:pt>
                <c:pt idx="202" formatCode="General">
                  <c:v>2.4889999999999999</c:v>
                </c:pt>
                <c:pt idx="203" formatCode="General">
                  <c:v>2.4910000000000001</c:v>
                </c:pt>
                <c:pt idx="204" formatCode="General">
                  <c:v>2.464</c:v>
                </c:pt>
                <c:pt idx="205" formatCode="General">
                  <c:v>2.4780000000000002</c:v>
                </c:pt>
                <c:pt idx="206" formatCode="General">
                  <c:v>2.3879999999999999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E9B-4BF4-8AF1-02D0399DFDFF}"/>
            </c:ext>
          </c:extLst>
        </c:ser>
        <c:ser>
          <c:idx val="5"/>
          <c:order val="5"/>
          <c:tx>
            <c:strRef>
              <c:f>'Clean Swap Data'!$G$2</c:f>
              <c:strCache>
                <c:ptCount val="1"/>
                <c:pt idx="0">
                  <c:v>ICERATESUSD6Y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'Clean Swap Data'!$G$3:$G$210</c:f>
              <c:numCache>
                <c:formatCode>0.000</c:formatCode>
                <c:ptCount val="208"/>
                <c:pt idx="0">
                  <c:v>2.79</c:v>
                </c:pt>
                <c:pt idx="1">
                  <c:v>2.7970000000000002</c:v>
                </c:pt>
                <c:pt idx="2">
                  <c:v>2.79</c:v>
                </c:pt>
                <c:pt idx="3">
                  <c:v>2.7759999999999998</c:v>
                </c:pt>
                <c:pt idx="4">
                  <c:v>2.7290000000000001</c:v>
                </c:pt>
                <c:pt idx="5">
                  <c:v>2.7389999999999999</c:v>
                </c:pt>
                <c:pt idx="6">
                  <c:v>2.7490000000000001</c:v>
                </c:pt>
                <c:pt idx="7">
                  <c:v>2.7530000000000001</c:v>
                </c:pt>
                <c:pt idx="8">
                  <c:v>2.7959999999999998</c:v>
                </c:pt>
                <c:pt idx="9">
                  <c:v>2.75</c:v>
                </c:pt>
                <c:pt idx="10">
                  <c:v>2.7679999999999998</c:v>
                </c:pt>
                <c:pt idx="11">
                  <c:v>2.766</c:v>
                </c:pt>
                <c:pt idx="12">
                  <c:v>2.802</c:v>
                </c:pt>
                <c:pt idx="13">
                  <c:v>2.8159999999999998</c:v>
                </c:pt>
                <c:pt idx="14">
                  <c:v>2.83</c:v>
                </c:pt>
                <c:pt idx="15">
                  <c:v>2.8250000000000002</c:v>
                </c:pt>
                <c:pt idx="16">
                  <c:v>2.8359999999999999</c:v>
                </c:pt>
                <c:pt idx="17">
                  <c:v>2.8839999999999999</c:v>
                </c:pt>
                <c:pt idx="18">
                  <c:v>2.9169999999999998</c:v>
                </c:pt>
                <c:pt idx="19">
                  <c:v>2.948</c:v>
                </c:pt>
                <c:pt idx="20">
                  <c:v>2.976</c:v>
                </c:pt>
                <c:pt idx="21">
                  <c:v>2.9590000000000001</c:v>
                </c:pt>
                <c:pt idx="22">
                  <c:v>2.9260000000000002</c:v>
                </c:pt>
                <c:pt idx="23" formatCode="General">
                  <c:v>2.931</c:v>
                </c:pt>
                <c:pt idx="24" formatCode="General">
                  <c:v>2.948</c:v>
                </c:pt>
                <c:pt idx="25" formatCode="General">
                  <c:v>2.9489999999999998</c:v>
                </c:pt>
                <c:pt idx="26" formatCode="General">
                  <c:v>2.91</c:v>
                </c:pt>
                <c:pt idx="27" formatCode="General">
                  <c:v>2.923</c:v>
                </c:pt>
                <c:pt idx="28" formatCode="General">
                  <c:v>2.9359999999999999</c:v>
                </c:pt>
                <c:pt idx="29" formatCode="General">
                  <c:v>2.956</c:v>
                </c:pt>
                <c:pt idx="30" formatCode="General">
                  <c:v>2.9649999999999999</c:v>
                </c:pt>
                <c:pt idx="31" formatCode="General">
                  <c:v>2.9540000000000002</c:v>
                </c:pt>
                <c:pt idx="32" formatCode="General">
                  <c:v>2.9550000000000001</c:v>
                </c:pt>
                <c:pt idx="33" formatCode="General">
                  <c:v>2.9510000000000001</c:v>
                </c:pt>
                <c:pt idx="34" formatCode="General">
                  <c:v>3.008</c:v>
                </c:pt>
                <c:pt idx="35" formatCode="General">
                  <c:v>3.0459999999999998</c:v>
                </c:pt>
                <c:pt idx="36" formatCode="General">
                  <c:v>3.0609999999999999</c:v>
                </c:pt>
                <c:pt idx="37" formatCode="General">
                  <c:v>3.0179999999999998</c:v>
                </c:pt>
                <c:pt idx="38" formatCode="General">
                  <c:v>3.0289999999999999</c:v>
                </c:pt>
                <c:pt idx="39" formatCode="General">
                  <c:v>3.0270000000000001</c:v>
                </c:pt>
                <c:pt idx="40" formatCode="General">
                  <c:v>2.915</c:v>
                </c:pt>
                <c:pt idx="41" formatCode="General">
                  <c:v>2.8980000000000001</c:v>
                </c:pt>
                <c:pt idx="42" formatCode="General">
                  <c:v>2.794</c:v>
                </c:pt>
                <c:pt idx="43" formatCode="General">
                  <c:v>2.9180000000000001</c:v>
                </c:pt>
                <c:pt idx="44" formatCode="General">
                  <c:v>2.9209999999999998</c:v>
                </c:pt>
                <c:pt idx="45" formatCode="General">
                  <c:v>2.9569999999999999</c:v>
                </c:pt>
                <c:pt idx="46" formatCode="General">
                  <c:v>2.956</c:v>
                </c:pt>
                <c:pt idx="47" formatCode="General">
                  <c:v>2.9420000000000002</c:v>
                </c:pt>
                <c:pt idx="48" formatCode="General">
                  <c:v>2.9159999999999999</c:v>
                </c:pt>
                <c:pt idx="49" formatCode="General">
                  <c:v>2.9260000000000002</c:v>
                </c:pt>
                <c:pt idx="50" formatCode="General">
                  <c:v>2.927</c:v>
                </c:pt>
                <c:pt idx="51" formatCode="General">
                  <c:v>2.9220000000000002</c:v>
                </c:pt>
                <c:pt idx="52" formatCode="General">
                  <c:v>2.8969999999999998</c:v>
                </c:pt>
                <c:pt idx="53" formatCode="General">
                  <c:v>2.8959999999999999</c:v>
                </c:pt>
                <c:pt idx="54" formatCode="General">
                  <c:v>2.8759999999999999</c:v>
                </c:pt>
                <c:pt idx="55" formatCode="General">
                  <c:v>2.8889999999999998</c:v>
                </c:pt>
                <c:pt idx="56" formatCode="General">
                  <c:v>2.8969999999999998</c:v>
                </c:pt>
                <c:pt idx="57" formatCode="General">
                  <c:v>2.8849999999999998</c:v>
                </c:pt>
                <c:pt idx="58" formatCode="General">
                  <c:v>2.8809999999999998</c:v>
                </c:pt>
                <c:pt idx="59" formatCode="General">
                  <c:v>2.879</c:v>
                </c:pt>
                <c:pt idx="60" formatCode="General">
                  <c:v>2.899</c:v>
                </c:pt>
                <c:pt idx="61" formatCode="General">
                  <c:v>2.9079999999999999</c:v>
                </c:pt>
                <c:pt idx="62" formatCode="General">
                  <c:v>2.9020000000000001</c:v>
                </c:pt>
                <c:pt idx="63" formatCode="General">
                  <c:v>2.8919999999999999</c:v>
                </c:pt>
                <c:pt idx="64" formatCode="General">
                  <c:v>2.8740000000000001</c:v>
                </c:pt>
                <c:pt idx="65" formatCode="General">
                  <c:v>2.907</c:v>
                </c:pt>
                <c:pt idx="66" formatCode="General">
                  <c:v>2.899</c:v>
                </c:pt>
                <c:pt idx="67" formatCode="General">
                  <c:v>2.9020000000000001</c:v>
                </c:pt>
                <c:pt idx="68" formatCode="General">
                  <c:v>2.9009999999999998</c:v>
                </c:pt>
                <c:pt idx="69" formatCode="General">
                  <c:v>2.911</c:v>
                </c:pt>
                <c:pt idx="70" formatCode="General">
                  <c:v>2.9489999999999998</c:v>
                </c:pt>
                <c:pt idx="71" formatCode="General">
                  <c:v>2.9710000000000001</c:v>
                </c:pt>
                <c:pt idx="72" formatCode="General">
                  <c:v>2.9540000000000002</c:v>
                </c:pt>
                <c:pt idx="73" formatCode="General">
                  <c:v>2.972</c:v>
                </c:pt>
                <c:pt idx="74" formatCode="General">
                  <c:v>2.9780000000000002</c:v>
                </c:pt>
                <c:pt idx="75" formatCode="General">
                  <c:v>2.9940000000000002</c:v>
                </c:pt>
                <c:pt idx="76" formatCode="General">
                  <c:v>2.9860000000000002</c:v>
                </c:pt>
                <c:pt idx="77" formatCode="General">
                  <c:v>3.0230000000000001</c:v>
                </c:pt>
                <c:pt idx="78" formatCode="General">
                  <c:v>3.008</c:v>
                </c:pt>
                <c:pt idx="79" formatCode="General">
                  <c:v>2.976</c:v>
                </c:pt>
                <c:pt idx="80" formatCode="General">
                  <c:v>2.956</c:v>
                </c:pt>
                <c:pt idx="81" formatCode="General">
                  <c:v>2.98</c:v>
                </c:pt>
                <c:pt idx="82" formatCode="General">
                  <c:v>2.9750000000000001</c:v>
                </c:pt>
                <c:pt idx="83" formatCode="General">
                  <c:v>2.9449999999999998</c:v>
                </c:pt>
                <c:pt idx="84" formatCode="General">
                  <c:v>2.89</c:v>
                </c:pt>
                <c:pt idx="85" formatCode="General">
                  <c:v>2.907</c:v>
                </c:pt>
                <c:pt idx="86" formatCode="General">
                  <c:v>2.8559999999999999</c:v>
                </c:pt>
                <c:pt idx="87" formatCode="General">
                  <c:v>2.8959999999999999</c:v>
                </c:pt>
                <c:pt idx="88" formatCode="General">
                  <c:v>2.8809999999999998</c:v>
                </c:pt>
                <c:pt idx="89" formatCode="General">
                  <c:v>2.8610000000000002</c:v>
                </c:pt>
                <c:pt idx="90" formatCode="General">
                  <c:v>2.871</c:v>
                </c:pt>
                <c:pt idx="91" formatCode="General">
                  <c:v>2.8580000000000001</c:v>
                </c:pt>
                <c:pt idx="92" formatCode="General">
                  <c:v>2.8530000000000002</c:v>
                </c:pt>
                <c:pt idx="93" formatCode="General">
                  <c:v>2.8620000000000001</c:v>
                </c:pt>
                <c:pt idx="94" formatCode="General">
                  <c:v>2.8759999999999999</c:v>
                </c:pt>
                <c:pt idx="95" formatCode="General">
                  <c:v>2.9049999999999998</c:v>
                </c:pt>
                <c:pt idx="96" formatCode="General">
                  <c:v>2.919</c:v>
                </c:pt>
                <c:pt idx="97" formatCode="General">
                  <c:v>2.9049999999999998</c:v>
                </c:pt>
                <c:pt idx="98" formatCode="General">
                  <c:v>2.8769999999999998</c:v>
                </c:pt>
                <c:pt idx="99" formatCode="General">
                  <c:v>2.9129999999999998</c:v>
                </c:pt>
                <c:pt idx="100" formatCode="General">
                  <c:v>2.9119999999999999</c:v>
                </c:pt>
                <c:pt idx="101" formatCode="General">
                  <c:v>2.89</c:v>
                </c:pt>
                <c:pt idx="102" formatCode="General">
                  <c:v>2.9580000000000002</c:v>
                </c:pt>
                <c:pt idx="103" formatCode="General">
                  <c:v>2.956</c:v>
                </c:pt>
                <c:pt idx="104" formatCode="General">
                  <c:v>2.9889999999999999</c:v>
                </c:pt>
                <c:pt idx="105" formatCode="General">
                  <c:v>2.9849999999999999</c:v>
                </c:pt>
                <c:pt idx="106" formatCode="General">
                  <c:v>2.99</c:v>
                </c:pt>
                <c:pt idx="107" formatCode="General">
                  <c:v>3.0259999999999998</c:v>
                </c:pt>
                <c:pt idx="108" formatCode="General">
                  <c:v>3.0209999999999999</c:v>
                </c:pt>
                <c:pt idx="109" formatCode="General">
                  <c:v>3.044</c:v>
                </c:pt>
                <c:pt idx="110" formatCode="General">
                  <c:v>3.089</c:v>
                </c:pt>
                <c:pt idx="111" formatCode="General">
                  <c:v>3.0870000000000002</c:v>
                </c:pt>
                <c:pt idx="112" formatCode="General">
                  <c:v>3.0840000000000001</c:v>
                </c:pt>
                <c:pt idx="113" formatCode="General">
                  <c:v>3.0819999999999999</c:v>
                </c:pt>
                <c:pt idx="114" formatCode="General">
                  <c:v>3.1190000000000002</c:v>
                </c:pt>
                <c:pt idx="115" formatCode="General">
                  <c:v>3.089</c:v>
                </c:pt>
                <c:pt idx="116" formatCode="General">
                  <c:v>3.0680000000000001</c:v>
                </c:pt>
                <c:pt idx="117" formatCode="General">
                  <c:v>3.0779999999999998</c:v>
                </c:pt>
                <c:pt idx="118" formatCode="General">
                  <c:v>3.0590000000000002</c:v>
                </c:pt>
                <c:pt idx="119" formatCode="General">
                  <c:v>3.1030000000000002</c:v>
                </c:pt>
                <c:pt idx="120" formatCode="General">
                  <c:v>3.18</c:v>
                </c:pt>
                <c:pt idx="121" formatCode="General">
                  <c:v>3.202</c:v>
                </c:pt>
                <c:pt idx="122" formatCode="General">
                  <c:v>3.194</c:v>
                </c:pt>
                <c:pt idx="123" formatCode="General">
                  <c:v>3.206</c:v>
                </c:pt>
                <c:pt idx="124" formatCode="General">
                  <c:v>3.1539999999999999</c:v>
                </c:pt>
                <c:pt idx="125" formatCode="General">
                  <c:v>3.153</c:v>
                </c:pt>
                <c:pt idx="126" formatCode="General">
                  <c:v>3.1429999999999998</c:v>
                </c:pt>
                <c:pt idx="127" formatCode="General">
                  <c:v>3.17</c:v>
                </c:pt>
                <c:pt idx="128" formatCode="General">
                  <c:v>3.1589999999999998</c:v>
                </c:pt>
                <c:pt idx="129" formatCode="General">
                  <c:v>3.2160000000000002</c:v>
                </c:pt>
                <c:pt idx="130" formatCode="General">
                  <c:v>3.202</c:v>
                </c:pt>
                <c:pt idx="131" formatCode="General">
                  <c:v>3.2010000000000001</c:v>
                </c:pt>
                <c:pt idx="132" formatCode="General">
                  <c:v>3.1269999999999998</c:v>
                </c:pt>
                <c:pt idx="133" formatCode="General">
                  <c:v>3.1240000000000001</c:v>
                </c:pt>
                <c:pt idx="134" formatCode="General">
                  <c:v>3.1320000000000001</c:v>
                </c:pt>
                <c:pt idx="135" formatCode="General">
                  <c:v>3.0419999999999998</c:v>
                </c:pt>
                <c:pt idx="136" formatCode="General">
                  <c:v>3.1110000000000002</c:v>
                </c:pt>
                <c:pt idx="137" formatCode="General">
                  <c:v>3.0979999999999999</c:v>
                </c:pt>
                <c:pt idx="138" formatCode="General">
                  <c:v>3.1419999999999999</c:v>
                </c:pt>
                <c:pt idx="139" formatCode="General">
                  <c:v>3.1459999999999999</c:v>
                </c:pt>
                <c:pt idx="140" formatCode="General">
                  <c:v>3.173</c:v>
                </c:pt>
                <c:pt idx="141" formatCode="General">
                  <c:v>3.181</c:v>
                </c:pt>
                <c:pt idx="142" formatCode="General">
                  <c:v>3.1859999999999999</c:v>
                </c:pt>
                <c:pt idx="143" formatCode="General">
                  <c:v>3.1859999999999999</c:v>
                </c:pt>
                <c:pt idx="144" formatCode="General">
                  <c:v>3.206</c:v>
                </c:pt>
                <c:pt idx="145" formatCode="General">
                  <c:v>3.1819999999999999</c:v>
                </c:pt>
                <c:pt idx="146" formatCode="General">
                  <c:v>3.145</c:v>
                </c:pt>
                <c:pt idx="147" formatCode="General">
                  <c:v>3.073</c:v>
                </c:pt>
                <c:pt idx="148" formatCode="General">
                  <c:v>3.0670000000000002</c:v>
                </c:pt>
                <c:pt idx="149" formatCode="General">
                  <c:v>3.032</c:v>
                </c:pt>
                <c:pt idx="150" formatCode="General">
                  <c:v>3.0350000000000001</c:v>
                </c:pt>
                <c:pt idx="151" formatCode="General">
                  <c:v>3.0579999999999998</c:v>
                </c:pt>
                <c:pt idx="152" formatCode="General">
                  <c:v>3.0249999999999999</c:v>
                </c:pt>
                <c:pt idx="153" formatCode="General">
                  <c:v>3.056</c:v>
                </c:pt>
                <c:pt idx="154" formatCode="General">
                  <c:v>3.0430000000000001</c:v>
                </c:pt>
                <c:pt idx="155" formatCode="General">
                  <c:v>2.98</c:v>
                </c:pt>
                <c:pt idx="156" formatCode="General">
                  <c:v>2.9860000000000002</c:v>
                </c:pt>
                <c:pt idx="157" formatCode="General">
                  <c:v>2.9889999999999999</c:v>
                </c:pt>
                <c:pt idx="158" formatCode="General">
                  <c:v>2.9620000000000002</c:v>
                </c:pt>
                <c:pt idx="159" formatCode="General">
                  <c:v>2.83</c:v>
                </c:pt>
                <c:pt idx="160" formatCode="General">
                  <c:v>2.8039999999999998</c:v>
                </c:pt>
                <c:pt idx="161" formatCode="General">
                  <c:v>2.8239999999999998</c:v>
                </c:pt>
                <c:pt idx="162" formatCode="General">
                  <c:v>2.867</c:v>
                </c:pt>
                <c:pt idx="163" formatCode="General">
                  <c:v>2.8479999999999999</c:v>
                </c:pt>
                <c:pt idx="164" formatCode="General">
                  <c:v>2.823</c:v>
                </c:pt>
                <c:pt idx="165" formatCode="General">
                  <c:v>2.7759999999999998</c:v>
                </c:pt>
                <c:pt idx="166" formatCode="General">
                  <c:v>2.5819999999999999</c:v>
                </c:pt>
                <c:pt idx="167" formatCode="General">
                  <c:v>2.645</c:v>
                </c:pt>
                <c:pt idx="168" formatCode="General">
                  <c:v>2.64</c:v>
                </c:pt>
                <c:pt idx="169" formatCode="General">
                  <c:v>2.63</c:v>
                </c:pt>
                <c:pt idx="170" formatCode="General">
                  <c:v>2.6589999999999998</c:v>
                </c:pt>
                <c:pt idx="171" formatCode="General">
                  <c:v>2.6890000000000001</c:v>
                </c:pt>
                <c:pt idx="172" formatCode="General">
                  <c:v>2.6840000000000002</c:v>
                </c:pt>
                <c:pt idx="173" formatCode="General">
                  <c:v>2.649</c:v>
                </c:pt>
                <c:pt idx="174" formatCode="General">
                  <c:v>2.677</c:v>
                </c:pt>
                <c:pt idx="175" formatCode="General">
                  <c:v>2.65</c:v>
                </c:pt>
                <c:pt idx="176" formatCode="General">
                  <c:v>2.661</c:v>
                </c:pt>
                <c:pt idx="177" formatCode="General">
                  <c:v>2.569</c:v>
                </c:pt>
                <c:pt idx="178" formatCode="General">
                  <c:v>2.6080000000000001</c:v>
                </c:pt>
                <c:pt idx="179" formatCode="General">
                  <c:v>2.6469999999999998</c:v>
                </c:pt>
                <c:pt idx="180" formatCode="General">
                  <c:v>2.621</c:v>
                </c:pt>
                <c:pt idx="181" formatCode="General">
                  <c:v>2.61</c:v>
                </c:pt>
                <c:pt idx="182" formatCode="General">
                  <c:v>2.5779999999999998</c:v>
                </c:pt>
                <c:pt idx="183" formatCode="General">
                  <c:v>2.573</c:v>
                </c:pt>
                <c:pt idx="184" formatCode="General">
                  <c:v>2.5979999999999999</c:v>
                </c:pt>
                <c:pt idx="185" formatCode="General">
                  <c:v>2.5790000000000002</c:v>
                </c:pt>
                <c:pt idx="186" formatCode="General">
                  <c:v>2.5990000000000002</c:v>
                </c:pt>
                <c:pt idx="187" formatCode="General">
                  <c:v>2.5569999999999999</c:v>
                </c:pt>
                <c:pt idx="188" formatCode="General">
                  <c:v>2.5649999999999999</c:v>
                </c:pt>
                <c:pt idx="189" formatCode="General">
                  <c:v>2.5939999999999999</c:v>
                </c:pt>
                <c:pt idx="190" formatCode="General">
                  <c:v>2.5619999999999998</c:v>
                </c:pt>
                <c:pt idx="191" formatCode="General">
                  <c:v>2.5659999999999998</c:v>
                </c:pt>
                <c:pt idx="192" formatCode="General">
                  <c:v>2.5339999999999998</c:v>
                </c:pt>
                <c:pt idx="193" formatCode="General">
                  <c:v>2.5579999999999998</c:v>
                </c:pt>
                <c:pt idx="194" formatCode="General">
                  <c:v>2.601</c:v>
                </c:pt>
                <c:pt idx="195" formatCode="General">
                  <c:v>2.613</c:v>
                </c:pt>
                <c:pt idx="196" formatCode="General">
                  <c:v>2.6179999999999999</c:v>
                </c:pt>
                <c:pt idx="197" formatCode="General">
                  <c:v>2.6240000000000001</c:v>
                </c:pt>
                <c:pt idx="198" formatCode="General">
                  <c:v>2.5920000000000001</c:v>
                </c:pt>
                <c:pt idx="199" formatCode="General">
                  <c:v>2.5459999999999998</c:v>
                </c:pt>
                <c:pt idx="200" formatCode="General">
                  <c:v>2.5369999999999999</c:v>
                </c:pt>
                <c:pt idx="201" formatCode="General">
                  <c:v>2.5179999999999998</c:v>
                </c:pt>
                <c:pt idx="202" formatCode="General">
                  <c:v>2.508</c:v>
                </c:pt>
                <c:pt idx="203" formatCode="General">
                  <c:v>2.512</c:v>
                </c:pt>
                <c:pt idx="204" formatCode="General">
                  <c:v>2.484</c:v>
                </c:pt>
                <c:pt idx="205" formatCode="General">
                  <c:v>2.4980000000000002</c:v>
                </c:pt>
                <c:pt idx="206" formatCode="General">
                  <c:v>2.4060000000000001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E9B-4BF4-8AF1-02D0399DFDFF}"/>
            </c:ext>
          </c:extLst>
        </c:ser>
        <c:ser>
          <c:idx val="6"/>
          <c:order val="6"/>
          <c:tx>
            <c:strRef>
              <c:f>'Clean Swap Data'!$H$2</c:f>
              <c:strCache>
                <c:ptCount val="1"/>
                <c:pt idx="0">
                  <c:v>ICERATESUSD7Y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'Clean Swap Data'!$H$3:$H$210</c:f>
              <c:numCache>
                <c:formatCode>0.000</c:formatCode>
                <c:ptCount val="208"/>
                <c:pt idx="0">
                  <c:v>2.806</c:v>
                </c:pt>
                <c:pt idx="1">
                  <c:v>2.8170000000000002</c:v>
                </c:pt>
                <c:pt idx="2">
                  <c:v>2.8079999999999998</c:v>
                </c:pt>
                <c:pt idx="3">
                  <c:v>2.7959999999999998</c:v>
                </c:pt>
                <c:pt idx="4">
                  <c:v>2.7429999999999999</c:v>
                </c:pt>
                <c:pt idx="5">
                  <c:v>2.7549999999999999</c:v>
                </c:pt>
                <c:pt idx="6">
                  <c:v>2.7629999999999999</c:v>
                </c:pt>
                <c:pt idx="7">
                  <c:v>2.7669999999999999</c:v>
                </c:pt>
                <c:pt idx="8">
                  <c:v>2.8119999999999998</c:v>
                </c:pt>
                <c:pt idx="9">
                  <c:v>2.7650000000000001</c:v>
                </c:pt>
                <c:pt idx="10">
                  <c:v>2.7839999999999998</c:v>
                </c:pt>
                <c:pt idx="11">
                  <c:v>2.78</c:v>
                </c:pt>
                <c:pt idx="12">
                  <c:v>2.8140000000000001</c:v>
                </c:pt>
                <c:pt idx="13">
                  <c:v>2.827</c:v>
                </c:pt>
                <c:pt idx="14">
                  <c:v>2.839</c:v>
                </c:pt>
                <c:pt idx="15">
                  <c:v>2.8340000000000001</c:v>
                </c:pt>
                <c:pt idx="16">
                  <c:v>2.843</c:v>
                </c:pt>
                <c:pt idx="17">
                  <c:v>2.8959999999999999</c:v>
                </c:pt>
                <c:pt idx="18">
                  <c:v>2.931</c:v>
                </c:pt>
                <c:pt idx="19">
                  <c:v>2.9630000000000001</c:v>
                </c:pt>
                <c:pt idx="20">
                  <c:v>2.996</c:v>
                </c:pt>
                <c:pt idx="21">
                  <c:v>2.9790000000000001</c:v>
                </c:pt>
                <c:pt idx="22">
                  <c:v>2.9430000000000001</c:v>
                </c:pt>
                <c:pt idx="23" formatCode="General">
                  <c:v>2.9449999999999998</c:v>
                </c:pt>
                <c:pt idx="24" formatCode="General">
                  <c:v>2.9630000000000001</c:v>
                </c:pt>
                <c:pt idx="25" formatCode="General">
                  <c:v>2.9609999999999999</c:v>
                </c:pt>
                <c:pt idx="26" formatCode="General">
                  <c:v>2.9239999999999999</c:v>
                </c:pt>
                <c:pt idx="27" formatCode="General">
                  <c:v>2.9369999999999998</c:v>
                </c:pt>
                <c:pt idx="28" formatCode="General">
                  <c:v>2.9489999999999998</c:v>
                </c:pt>
                <c:pt idx="29" formatCode="General">
                  <c:v>2.972</c:v>
                </c:pt>
                <c:pt idx="30" formatCode="General">
                  <c:v>2.98</c:v>
                </c:pt>
                <c:pt idx="31" formatCode="General">
                  <c:v>2.9689999999999999</c:v>
                </c:pt>
                <c:pt idx="32" formatCode="General">
                  <c:v>2.97</c:v>
                </c:pt>
                <c:pt idx="33" formatCode="General">
                  <c:v>2.968</c:v>
                </c:pt>
                <c:pt idx="34" formatCode="General">
                  <c:v>3.0289999999999999</c:v>
                </c:pt>
                <c:pt idx="35" formatCode="General">
                  <c:v>3.0670000000000002</c:v>
                </c:pt>
                <c:pt idx="36" formatCode="General">
                  <c:v>3.0830000000000002</c:v>
                </c:pt>
                <c:pt idx="37" formatCode="General">
                  <c:v>3.0419999999999998</c:v>
                </c:pt>
                <c:pt idx="38" formatCode="General">
                  <c:v>3.0510000000000002</c:v>
                </c:pt>
                <c:pt idx="39" formatCode="General">
                  <c:v>3.0489999999999999</c:v>
                </c:pt>
                <c:pt idx="40" formatCode="General">
                  <c:v>2.9340000000000002</c:v>
                </c:pt>
                <c:pt idx="41" formatCode="General">
                  <c:v>2.9159999999999999</c:v>
                </c:pt>
                <c:pt idx="42" formatCode="General">
                  <c:v>2.8149999999999999</c:v>
                </c:pt>
                <c:pt idx="43" formatCode="General">
                  <c:v>2.9329999999999998</c:v>
                </c:pt>
                <c:pt idx="44" formatCode="General">
                  <c:v>2.9350000000000001</c:v>
                </c:pt>
                <c:pt idx="45" formatCode="General">
                  <c:v>2.9740000000000002</c:v>
                </c:pt>
                <c:pt idx="46" formatCode="General">
                  <c:v>2.9710000000000001</c:v>
                </c:pt>
                <c:pt idx="47" formatCode="General">
                  <c:v>2.9489999999999998</c:v>
                </c:pt>
                <c:pt idx="48" formatCode="General">
                  <c:v>2.9239999999999999</c:v>
                </c:pt>
                <c:pt idx="49" formatCode="General">
                  <c:v>2.9340000000000002</c:v>
                </c:pt>
                <c:pt idx="50" formatCode="General">
                  <c:v>2.9359999999999999</c:v>
                </c:pt>
                <c:pt idx="51" formatCode="General">
                  <c:v>2.9319999999999999</c:v>
                </c:pt>
                <c:pt idx="52" formatCode="General">
                  <c:v>2.9049999999999998</c:v>
                </c:pt>
                <c:pt idx="53" formatCode="General">
                  <c:v>2.9049999999999998</c:v>
                </c:pt>
                <c:pt idx="54" formatCode="General">
                  <c:v>2.883</c:v>
                </c:pt>
                <c:pt idx="55" formatCode="General">
                  <c:v>2.8940000000000001</c:v>
                </c:pt>
                <c:pt idx="56" formatCode="General">
                  <c:v>2.903</c:v>
                </c:pt>
                <c:pt idx="57">
                  <c:v>2.89</c:v>
                </c:pt>
                <c:pt idx="58" formatCode="General">
                  <c:v>2.8849999999999998</c:v>
                </c:pt>
                <c:pt idx="59" formatCode="General">
                  <c:v>2.8809999999999998</c:v>
                </c:pt>
                <c:pt idx="60" formatCode="General">
                  <c:v>2.9039999999999999</c:v>
                </c:pt>
                <c:pt idx="61" formatCode="General">
                  <c:v>2.9140000000000001</c:v>
                </c:pt>
                <c:pt idx="62" formatCode="General">
                  <c:v>2.9060000000000001</c:v>
                </c:pt>
                <c:pt idx="63" formatCode="General">
                  <c:v>2.8969999999999998</c:v>
                </c:pt>
                <c:pt idx="64" formatCode="General">
                  <c:v>2.8769999999999998</c:v>
                </c:pt>
                <c:pt idx="65" formatCode="General">
                  <c:v>2.9119999999999999</c:v>
                </c:pt>
                <c:pt idx="66" formatCode="General">
                  <c:v>2.9039999999999999</c:v>
                </c:pt>
                <c:pt idx="67" formatCode="General">
                  <c:v>2.9049999999999998</c:v>
                </c:pt>
                <c:pt idx="68" formatCode="General">
                  <c:v>2.9039999999999999</c:v>
                </c:pt>
                <c:pt idx="69" formatCode="General">
                  <c:v>2.919</c:v>
                </c:pt>
                <c:pt idx="70" formatCode="General">
                  <c:v>2.96</c:v>
                </c:pt>
                <c:pt idx="71" formatCode="General">
                  <c:v>2.98</c:v>
                </c:pt>
                <c:pt idx="72" formatCode="General">
                  <c:v>2.9609999999999999</c:v>
                </c:pt>
                <c:pt idx="73" formatCode="General">
                  <c:v>2.98</c:v>
                </c:pt>
                <c:pt idx="74" formatCode="General">
                  <c:v>2.9870000000000001</c:v>
                </c:pt>
                <c:pt idx="75" formatCode="General">
                  <c:v>3.0049999999999999</c:v>
                </c:pt>
                <c:pt idx="76" formatCode="General">
                  <c:v>2.996</c:v>
                </c:pt>
                <c:pt idx="77" formatCode="General">
                  <c:v>3.0339999999999998</c:v>
                </c:pt>
                <c:pt idx="78" formatCode="General">
                  <c:v>3.02</c:v>
                </c:pt>
                <c:pt idx="79" formatCode="General">
                  <c:v>2.988</c:v>
                </c:pt>
                <c:pt idx="80" formatCode="General">
                  <c:v>2.9670000000000001</c:v>
                </c:pt>
                <c:pt idx="81" formatCode="General">
                  <c:v>2.9910000000000001</c:v>
                </c:pt>
                <c:pt idx="82" formatCode="General">
                  <c:v>2.9860000000000002</c:v>
                </c:pt>
                <c:pt idx="83" formatCode="General">
                  <c:v>2.9550000000000001</c:v>
                </c:pt>
                <c:pt idx="84" formatCode="General">
                  <c:v>2.9</c:v>
                </c:pt>
                <c:pt idx="85" formatCode="General">
                  <c:v>2.9180000000000001</c:v>
                </c:pt>
                <c:pt idx="86" formatCode="General">
                  <c:v>2.8650000000000002</c:v>
                </c:pt>
                <c:pt idx="87" formatCode="General">
                  <c:v>2.9049999999999998</c:v>
                </c:pt>
                <c:pt idx="88" formatCode="General">
                  <c:v>2.89</c:v>
                </c:pt>
                <c:pt idx="89" formatCode="General">
                  <c:v>2.8679999999999999</c:v>
                </c:pt>
                <c:pt idx="90" formatCode="General">
                  <c:v>2.879</c:v>
                </c:pt>
                <c:pt idx="91" formatCode="General">
                  <c:v>2.8660000000000001</c:v>
                </c:pt>
                <c:pt idx="92" formatCode="General">
                  <c:v>2.8610000000000002</c:v>
                </c:pt>
                <c:pt idx="93" formatCode="General">
                  <c:v>2.8679999999999999</c:v>
                </c:pt>
                <c:pt idx="94" formatCode="General">
                  <c:v>2.8820000000000001</c:v>
                </c:pt>
                <c:pt idx="95" formatCode="General">
                  <c:v>2.9129999999999998</c:v>
                </c:pt>
                <c:pt idx="96" formatCode="General">
                  <c:v>2.9279999999999999</c:v>
                </c:pt>
                <c:pt idx="97" formatCode="General">
                  <c:v>2.911</c:v>
                </c:pt>
                <c:pt idx="98" formatCode="General">
                  <c:v>2.883</c:v>
                </c:pt>
                <c:pt idx="99" formatCode="General">
                  <c:v>2.9239999999999999</c:v>
                </c:pt>
                <c:pt idx="100" formatCode="General">
                  <c:v>2.923</c:v>
                </c:pt>
                <c:pt idx="101" formatCode="General">
                  <c:v>2.9009999999999998</c:v>
                </c:pt>
                <c:pt idx="102" formatCode="General">
                  <c:v>2.9660000000000002</c:v>
                </c:pt>
                <c:pt idx="103" formatCode="General">
                  <c:v>2.9630000000000001</c:v>
                </c:pt>
                <c:pt idx="104" formatCode="General">
                  <c:v>2.9950000000000001</c:v>
                </c:pt>
                <c:pt idx="105" formatCode="General">
                  <c:v>2.99</c:v>
                </c:pt>
                <c:pt idx="106" formatCode="General">
                  <c:v>2.9940000000000002</c:v>
                </c:pt>
                <c:pt idx="107" formatCode="General">
                  <c:v>3.0310000000000001</c:v>
                </c:pt>
                <c:pt idx="108" formatCode="General">
                  <c:v>3.0259999999999998</c:v>
                </c:pt>
                <c:pt idx="109" formatCode="General">
                  <c:v>3.0529999999999999</c:v>
                </c:pt>
                <c:pt idx="110" formatCode="General">
                  <c:v>3.101</c:v>
                </c:pt>
                <c:pt idx="111" formatCode="General">
                  <c:v>3.0960000000000001</c:v>
                </c:pt>
                <c:pt idx="112" formatCode="General">
                  <c:v>3.0939999999999999</c:v>
                </c:pt>
                <c:pt idx="113" formatCode="General">
                  <c:v>3.09</c:v>
                </c:pt>
                <c:pt idx="114" formatCode="General">
                  <c:v>3.1280000000000001</c:v>
                </c:pt>
                <c:pt idx="115" formatCode="General">
                  <c:v>3.0960000000000001</c:v>
                </c:pt>
                <c:pt idx="116" formatCode="General">
                  <c:v>3.0760000000000001</c:v>
                </c:pt>
                <c:pt idx="117" formatCode="General">
                  <c:v>3.0880000000000001</c:v>
                </c:pt>
                <c:pt idx="118" formatCode="General">
                  <c:v>3.0680000000000001</c:v>
                </c:pt>
                <c:pt idx="119" formatCode="General">
                  <c:v>3.113</c:v>
                </c:pt>
                <c:pt idx="120" formatCode="General">
                  <c:v>3.1949999999999998</c:v>
                </c:pt>
                <c:pt idx="121" formatCode="General">
                  <c:v>3.2160000000000002</c:v>
                </c:pt>
                <c:pt idx="122" formatCode="General">
                  <c:v>3.21</c:v>
                </c:pt>
                <c:pt idx="123" formatCode="General">
                  <c:v>3.222</c:v>
                </c:pt>
                <c:pt idx="124" formatCode="General">
                  <c:v>3.1680000000000001</c:v>
                </c:pt>
                <c:pt idx="125" formatCode="General">
                  <c:v>3.165</c:v>
                </c:pt>
                <c:pt idx="126" formatCode="General">
                  <c:v>3.1549999999999998</c:v>
                </c:pt>
                <c:pt idx="127" formatCode="General">
                  <c:v>3.1829999999999998</c:v>
                </c:pt>
                <c:pt idx="128" formatCode="General">
                  <c:v>3.1709999999999998</c:v>
                </c:pt>
                <c:pt idx="129" formatCode="General">
                  <c:v>3.2280000000000002</c:v>
                </c:pt>
                <c:pt idx="130" formatCode="General">
                  <c:v>3.2160000000000002</c:v>
                </c:pt>
                <c:pt idx="131" formatCode="General">
                  <c:v>3.214</c:v>
                </c:pt>
                <c:pt idx="132" formatCode="General">
                  <c:v>3.14</c:v>
                </c:pt>
                <c:pt idx="133" formatCode="General">
                  <c:v>3.1389999999999998</c:v>
                </c:pt>
                <c:pt idx="134" formatCode="General">
                  <c:v>3.1459999999999999</c:v>
                </c:pt>
                <c:pt idx="135" formatCode="General">
                  <c:v>3.0579999999999998</c:v>
                </c:pt>
                <c:pt idx="136" formatCode="General">
                  <c:v>3.1259999999999999</c:v>
                </c:pt>
                <c:pt idx="137" formatCode="General">
                  <c:v>3.113</c:v>
                </c:pt>
                <c:pt idx="138" formatCode="General">
                  <c:v>3.1560000000000001</c:v>
                </c:pt>
                <c:pt idx="139" formatCode="General">
                  <c:v>3.161</c:v>
                </c:pt>
                <c:pt idx="140" formatCode="General">
                  <c:v>3.19</c:v>
                </c:pt>
                <c:pt idx="141" formatCode="General">
                  <c:v>3.198</c:v>
                </c:pt>
                <c:pt idx="142" formatCode="General">
                  <c:v>3.2029999999999998</c:v>
                </c:pt>
                <c:pt idx="143" formatCode="General">
                  <c:v>3.1989999999999998</c:v>
                </c:pt>
                <c:pt idx="144" formatCode="General">
                  <c:v>3.2210000000000001</c:v>
                </c:pt>
                <c:pt idx="145" formatCode="General">
                  <c:v>3.1960000000000002</c:v>
                </c:pt>
                <c:pt idx="146" formatCode="General">
                  <c:v>3.16</c:v>
                </c:pt>
                <c:pt idx="147" formatCode="General">
                  <c:v>3.0910000000000002</c:v>
                </c:pt>
                <c:pt idx="148" formatCode="General">
                  <c:v>3.0859999999999999</c:v>
                </c:pt>
                <c:pt idx="149" formatCode="General">
                  <c:v>3.0529999999999999</c:v>
                </c:pt>
                <c:pt idx="150" formatCode="General">
                  <c:v>3.0550000000000002</c:v>
                </c:pt>
                <c:pt idx="151" formatCode="General">
                  <c:v>3.0760000000000001</c:v>
                </c:pt>
                <c:pt idx="152" formatCode="General">
                  <c:v>3.0409999999999999</c:v>
                </c:pt>
                <c:pt idx="153" formatCode="General">
                  <c:v>3.073</c:v>
                </c:pt>
                <c:pt idx="154" formatCode="General">
                  <c:v>3.0579999999999998</c:v>
                </c:pt>
                <c:pt idx="155" formatCode="General">
                  <c:v>2.996</c:v>
                </c:pt>
                <c:pt idx="156" formatCode="General">
                  <c:v>3</c:v>
                </c:pt>
                <c:pt idx="157" formatCode="General">
                  <c:v>3.0019999999999998</c:v>
                </c:pt>
                <c:pt idx="158" formatCode="General">
                  <c:v>2.968</c:v>
                </c:pt>
                <c:pt idx="159" formatCode="General">
                  <c:v>2.8420000000000001</c:v>
                </c:pt>
                <c:pt idx="160" formatCode="General">
                  <c:v>2.8170000000000002</c:v>
                </c:pt>
                <c:pt idx="161" formatCode="General">
                  <c:v>2.8359999999999999</c:v>
                </c:pt>
                <c:pt idx="162" formatCode="General">
                  <c:v>2.88</c:v>
                </c:pt>
                <c:pt idx="163" formatCode="General">
                  <c:v>2.8639999999999999</c:v>
                </c:pt>
                <c:pt idx="164" formatCode="General">
                  <c:v>2.839</c:v>
                </c:pt>
                <c:pt idx="165" formatCode="General">
                  <c:v>2.7949999999999999</c:v>
                </c:pt>
                <c:pt idx="166" formatCode="General">
                  <c:v>2.6040000000000001</c:v>
                </c:pt>
                <c:pt idx="167" formatCode="General">
                  <c:v>2.6659999999999999</c:v>
                </c:pt>
                <c:pt idx="168" formatCode="General">
                  <c:v>2.6619999999999999</c:v>
                </c:pt>
                <c:pt idx="169" formatCode="General">
                  <c:v>2.65</c:v>
                </c:pt>
                <c:pt idx="170" formatCode="General">
                  <c:v>2.6789999999999998</c:v>
                </c:pt>
                <c:pt idx="171" formatCode="General">
                  <c:v>2.71</c:v>
                </c:pt>
                <c:pt idx="172" formatCode="General">
                  <c:v>2.7050000000000001</c:v>
                </c:pt>
                <c:pt idx="173" formatCode="General">
                  <c:v>2.67</c:v>
                </c:pt>
                <c:pt idx="174" formatCode="General">
                  <c:v>2.6970000000000001</c:v>
                </c:pt>
                <c:pt idx="175" formatCode="General">
                  <c:v>2.67</c:v>
                </c:pt>
                <c:pt idx="176" formatCode="General">
                  <c:v>2.681</c:v>
                </c:pt>
                <c:pt idx="177" formatCode="General">
                  <c:v>2.5910000000000002</c:v>
                </c:pt>
                <c:pt idx="178" formatCode="General">
                  <c:v>2.63</c:v>
                </c:pt>
                <c:pt idx="179" formatCode="General">
                  <c:v>2.6709999999999998</c:v>
                </c:pt>
                <c:pt idx="180" formatCode="General">
                  <c:v>2.6419999999999999</c:v>
                </c:pt>
                <c:pt idx="181" formatCode="General">
                  <c:v>2.6320000000000001</c:v>
                </c:pt>
                <c:pt idx="182" formatCode="General">
                  <c:v>2.6019999999999999</c:v>
                </c:pt>
                <c:pt idx="183" formatCode="General">
                  <c:v>2.5960000000000001</c:v>
                </c:pt>
                <c:pt idx="184" formatCode="General">
                  <c:v>2.6219999999999999</c:v>
                </c:pt>
                <c:pt idx="185" formatCode="General">
                  <c:v>2.6019999999999999</c:v>
                </c:pt>
                <c:pt idx="186" formatCode="General">
                  <c:v>2.621</c:v>
                </c:pt>
                <c:pt idx="187" formatCode="General">
                  <c:v>2.5790000000000002</c:v>
                </c:pt>
                <c:pt idx="188" formatCode="General">
                  <c:v>2.59</c:v>
                </c:pt>
                <c:pt idx="189" formatCode="General">
                  <c:v>2.6179999999999999</c:v>
                </c:pt>
                <c:pt idx="190" formatCode="General">
                  <c:v>2.585</c:v>
                </c:pt>
                <c:pt idx="191" formatCode="General">
                  <c:v>2.5920000000000001</c:v>
                </c:pt>
                <c:pt idx="192" formatCode="General">
                  <c:v>2.5590000000000002</c:v>
                </c:pt>
                <c:pt idx="193" formatCode="General">
                  <c:v>2.5859999999999999</c:v>
                </c:pt>
                <c:pt idx="194" formatCode="General">
                  <c:v>2.629</c:v>
                </c:pt>
                <c:pt idx="195" formatCode="General">
                  <c:v>2.6429999999999998</c:v>
                </c:pt>
                <c:pt idx="196" formatCode="General">
                  <c:v>2.6459999999999999</c:v>
                </c:pt>
                <c:pt idx="197" formatCode="General">
                  <c:v>2.6509999999999998</c:v>
                </c:pt>
                <c:pt idx="198" formatCode="General">
                  <c:v>2.62</c:v>
                </c:pt>
                <c:pt idx="199" formatCode="General">
                  <c:v>2.573</c:v>
                </c:pt>
                <c:pt idx="200" formatCode="General">
                  <c:v>2.5640000000000001</c:v>
                </c:pt>
                <c:pt idx="201" formatCode="General">
                  <c:v>2.5459999999999998</c:v>
                </c:pt>
                <c:pt idx="202" formatCode="General">
                  <c:v>2.532</c:v>
                </c:pt>
                <c:pt idx="203" formatCode="General">
                  <c:v>2.5379999999999998</c:v>
                </c:pt>
                <c:pt idx="204" formatCode="General">
                  <c:v>2.5099999999999998</c:v>
                </c:pt>
                <c:pt idx="205" formatCode="General">
                  <c:v>2.5230000000000001</c:v>
                </c:pt>
                <c:pt idx="206" formatCode="General">
                  <c:v>2.431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E9B-4BF4-8AF1-02D0399DFDFF}"/>
            </c:ext>
          </c:extLst>
        </c:ser>
        <c:ser>
          <c:idx val="7"/>
          <c:order val="7"/>
          <c:tx>
            <c:strRef>
              <c:f>'Clean Swap Data'!$I$2</c:f>
              <c:strCache>
                <c:ptCount val="1"/>
                <c:pt idx="0">
                  <c:v>ICERATESUSD8Y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'Clean Swap Data'!$I$3:$I$210</c:f>
              <c:numCache>
                <c:formatCode>0.000</c:formatCode>
                <c:ptCount val="208"/>
                <c:pt idx="0">
                  <c:v>2.823</c:v>
                </c:pt>
                <c:pt idx="1">
                  <c:v>2.8370000000000002</c:v>
                </c:pt>
                <c:pt idx="2">
                  <c:v>2.8260000000000001</c:v>
                </c:pt>
                <c:pt idx="3">
                  <c:v>2.8140000000000001</c:v>
                </c:pt>
                <c:pt idx="4">
                  <c:v>2.7589999999999999</c:v>
                </c:pt>
                <c:pt idx="5">
                  <c:v>2.7709999999999999</c:v>
                </c:pt>
                <c:pt idx="6">
                  <c:v>2.778</c:v>
                </c:pt>
                <c:pt idx="7">
                  <c:v>2.7810000000000001</c:v>
                </c:pt>
                <c:pt idx="8">
                  <c:v>2.827</c:v>
                </c:pt>
                <c:pt idx="9">
                  <c:v>2.78</c:v>
                </c:pt>
                <c:pt idx="10">
                  <c:v>2.8</c:v>
                </c:pt>
                <c:pt idx="11">
                  <c:v>2.794</c:v>
                </c:pt>
                <c:pt idx="12">
                  <c:v>2.8260000000000001</c:v>
                </c:pt>
                <c:pt idx="13">
                  <c:v>2.839</c:v>
                </c:pt>
                <c:pt idx="14">
                  <c:v>2.85</c:v>
                </c:pt>
                <c:pt idx="15">
                  <c:v>2.843</c:v>
                </c:pt>
                <c:pt idx="16">
                  <c:v>2.851</c:v>
                </c:pt>
                <c:pt idx="17">
                  <c:v>2.9079999999999999</c:v>
                </c:pt>
                <c:pt idx="18">
                  <c:v>2.9449999999999998</c:v>
                </c:pt>
                <c:pt idx="19">
                  <c:v>2.9769999999999999</c:v>
                </c:pt>
                <c:pt idx="20">
                  <c:v>3.0129999999999999</c:v>
                </c:pt>
                <c:pt idx="21">
                  <c:v>2.996</c:v>
                </c:pt>
                <c:pt idx="22">
                  <c:v>2.9580000000000002</c:v>
                </c:pt>
                <c:pt idx="23" formatCode="General">
                  <c:v>2.9569999999999999</c:v>
                </c:pt>
                <c:pt idx="24" formatCode="General">
                  <c:v>2.976</c:v>
                </c:pt>
                <c:pt idx="25" formatCode="General">
                  <c:v>2.9740000000000002</c:v>
                </c:pt>
                <c:pt idx="26" formatCode="General">
                  <c:v>2.9380000000000002</c:v>
                </c:pt>
                <c:pt idx="27" formatCode="General">
                  <c:v>2.9510000000000001</c:v>
                </c:pt>
                <c:pt idx="28" formatCode="General">
                  <c:v>2.9630000000000001</c:v>
                </c:pt>
                <c:pt idx="29" formatCode="General">
                  <c:v>2.9860000000000002</c:v>
                </c:pt>
                <c:pt idx="30" formatCode="General">
                  <c:v>2.9950000000000001</c:v>
                </c:pt>
                <c:pt idx="31" formatCode="General">
                  <c:v>2.9830000000000001</c:v>
                </c:pt>
                <c:pt idx="32" formatCode="General">
                  <c:v>2.9849999999999999</c:v>
                </c:pt>
                <c:pt idx="33" formatCode="General">
                  <c:v>2.9849999999999999</c:v>
                </c:pt>
                <c:pt idx="34" formatCode="General">
                  <c:v>3.0489999999999999</c:v>
                </c:pt>
                <c:pt idx="35" formatCode="General">
                  <c:v>3.0859999999999999</c:v>
                </c:pt>
                <c:pt idx="36" formatCode="General">
                  <c:v>3.1019999999999999</c:v>
                </c:pt>
                <c:pt idx="37" formatCode="General">
                  <c:v>3.0630000000000002</c:v>
                </c:pt>
                <c:pt idx="38" formatCode="General">
                  <c:v>3.0710000000000002</c:v>
                </c:pt>
                <c:pt idx="39" formatCode="General">
                  <c:v>3.0680000000000001</c:v>
                </c:pt>
                <c:pt idx="40" formatCode="General">
                  <c:v>2.952</c:v>
                </c:pt>
                <c:pt idx="41" formatCode="General">
                  <c:v>2.9350000000000001</c:v>
                </c:pt>
                <c:pt idx="42" formatCode="General">
                  <c:v>2.8359999999999999</c:v>
                </c:pt>
                <c:pt idx="43" formatCode="General">
                  <c:v>2.9470000000000001</c:v>
                </c:pt>
                <c:pt idx="44" formatCode="General">
                  <c:v>2.9510000000000001</c:v>
                </c:pt>
                <c:pt idx="45" formatCode="General">
                  <c:v>2.99</c:v>
                </c:pt>
                <c:pt idx="46" formatCode="General">
                  <c:v>2.9870000000000001</c:v>
                </c:pt>
                <c:pt idx="47" formatCode="General">
                  <c:v>2.9590000000000001</c:v>
                </c:pt>
                <c:pt idx="48" formatCode="General">
                  <c:v>2.9350000000000001</c:v>
                </c:pt>
                <c:pt idx="49" formatCode="General">
                  <c:v>2.944</c:v>
                </c:pt>
                <c:pt idx="50" formatCode="General">
                  <c:v>2.9470000000000001</c:v>
                </c:pt>
                <c:pt idx="51" formatCode="General">
                  <c:v>2.9430000000000001</c:v>
                </c:pt>
                <c:pt idx="52" formatCode="General">
                  <c:v>2.9159999999999999</c:v>
                </c:pt>
                <c:pt idx="53" formatCode="General">
                  <c:v>2.9159999999999999</c:v>
                </c:pt>
                <c:pt idx="54" formatCode="General">
                  <c:v>2.8919999999999999</c:v>
                </c:pt>
                <c:pt idx="55" formatCode="General">
                  <c:v>2.9009999999999998</c:v>
                </c:pt>
                <c:pt idx="56" formatCode="General">
                  <c:v>2.9119999999999999</c:v>
                </c:pt>
                <c:pt idx="57" formatCode="General">
                  <c:v>2.8969999999999998</c:v>
                </c:pt>
                <c:pt idx="58" formatCode="General">
                  <c:v>2.89</c:v>
                </c:pt>
                <c:pt idx="59" formatCode="General">
                  <c:v>2.887</c:v>
                </c:pt>
                <c:pt idx="60" formatCode="General">
                  <c:v>2.9119999999999999</c:v>
                </c:pt>
                <c:pt idx="61" formatCode="General">
                  <c:v>2.923</c:v>
                </c:pt>
                <c:pt idx="62" formatCode="General">
                  <c:v>2.9140000000000001</c:v>
                </c:pt>
                <c:pt idx="63" formatCode="General">
                  <c:v>2.9039999999999999</c:v>
                </c:pt>
                <c:pt idx="64" formatCode="General">
                  <c:v>2.8839999999999999</c:v>
                </c:pt>
                <c:pt idx="65" formatCode="General">
                  <c:v>2.9180000000000001</c:v>
                </c:pt>
                <c:pt idx="66" formatCode="General">
                  <c:v>2.9079999999999999</c:v>
                </c:pt>
                <c:pt idx="67" formatCode="General">
                  <c:v>2.9119999999999999</c:v>
                </c:pt>
                <c:pt idx="68" formatCode="General">
                  <c:v>2.9089999999999998</c:v>
                </c:pt>
                <c:pt idx="69" formatCode="General">
                  <c:v>2.9289999999999998</c:v>
                </c:pt>
                <c:pt idx="70" formatCode="General">
                  <c:v>2.9710000000000001</c:v>
                </c:pt>
                <c:pt idx="71" formatCode="General">
                  <c:v>2.99</c:v>
                </c:pt>
                <c:pt idx="72" formatCode="General">
                  <c:v>2.9689999999999999</c:v>
                </c:pt>
                <c:pt idx="73" formatCode="General">
                  <c:v>2.988</c:v>
                </c:pt>
                <c:pt idx="74" formatCode="General">
                  <c:v>2.9980000000000002</c:v>
                </c:pt>
                <c:pt idx="75" formatCode="General">
                  <c:v>3.016</c:v>
                </c:pt>
                <c:pt idx="76" formatCode="General">
                  <c:v>3.0059999999999998</c:v>
                </c:pt>
                <c:pt idx="77" formatCode="General">
                  <c:v>3.0459999999999998</c:v>
                </c:pt>
                <c:pt idx="78" formatCode="General">
                  <c:v>3.0329999999999999</c:v>
                </c:pt>
                <c:pt idx="79" formatCode="General">
                  <c:v>3.0009999999999999</c:v>
                </c:pt>
                <c:pt idx="80" formatCode="General">
                  <c:v>2.9780000000000002</c:v>
                </c:pt>
                <c:pt idx="81" formatCode="General">
                  <c:v>3.0019999999999998</c:v>
                </c:pt>
                <c:pt idx="82" formatCode="General">
                  <c:v>2.9980000000000002</c:v>
                </c:pt>
                <c:pt idx="83" formatCode="General">
                  <c:v>2.9670000000000001</c:v>
                </c:pt>
                <c:pt idx="84" formatCode="General">
                  <c:v>2.9119999999999999</c:v>
                </c:pt>
                <c:pt idx="85" formatCode="General">
                  <c:v>2.9289999999999998</c:v>
                </c:pt>
                <c:pt idx="86" formatCode="General">
                  <c:v>2.8769999999999998</c:v>
                </c:pt>
                <c:pt idx="87" formatCode="General">
                  <c:v>2.915</c:v>
                </c:pt>
                <c:pt idx="88" formatCode="General">
                  <c:v>2.9020000000000001</c:v>
                </c:pt>
                <c:pt idx="89" formatCode="General">
                  <c:v>2.879</c:v>
                </c:pt>
                <c:pt idx="90" formatCode="General">
                  <c:v>2.89</c:v>
                </c:pt>
                <c:pt idx="91" formatCode="General">
                  <c:v>2.8780000000000001</c:v>
                </c:pt>
                <c:pt idx="92" formatCode="General">
                  <c:v>2.8730000000000002</c:v>
                </c:pt>
                <c:pt idx="93" formatCode="General">
                  <c:v>2.8769999999999998</c:v>
                </c:pt>
                <c:pt idx="94" formatCode="General">
                  <c:v>2.8919999999999999</c:v>
                </c:pt>
                <c:pt idx="95" formatCode="General">
                  <c:v>2.9249999999999998</c:v>
                </c:pt>
                <c:pt idx="96" formatCode="General">
                  <c:v>2.9390000000000001</c:v>
                </c:pt>
                <c:pt idx="97" formatCode="General">
                  <c:v>2.9209999999999998</c:v>
                </c:pt>
                <c:pt idx="98" formatCode="General">
                  <c:v>2.8919999999999999</c:v>
                </c:pt>
                <c:pt idx="99" formatCode="General">
                  <c:v>2.9359999999999999</c:v>
                </c:pt>
                <c:pt idx="100" formatCode="General">
                  <c:v>2.9359999999999999</c:v>
                </c:pt>
                <c:pt idx="101" formatCode="General">
                  <c:v>2.9140000000000001</c:v>
                </c:pt>
                <c:pt idx="102" formatCode="General">
                  <c:v>2.9769999999999999</c:v>
                </c:pt>
                <c:pt idx="103" formatCode="General">
                  <c:v>2.9729999999999999</c:v>
                </c:pt>
                <c:pt idx="104" formatCode="General">
                  <c:v>3.004</c:v>
                </c:pt>
                <c:pt idx="105" formatCode="General">
                  <c:v>2.9990000000000001</c:v>
                </c:pt>
                <c:pt idx="106" formatCode="General">
                  <c:v>3.0030000000000001</c:v>
                </c:pt>
                <c:pt idx="107" formatCode="General">
                  <c:v>3.0390000000000001</c:v>
                </c:pt>
                <c:pt idx="108" formatCode="General">
                  <c:v>3.0339999999999998</c:v>
                </c:pt>
                <c:pt idx="109" formatCode="General">
                  <c:v>3.0640000000000001</c:v>
                </c:pt>
                <c:pt idx="110" formatCode="General">
                  <c:v>3.1160000000000001</c:v>
                </c:pt>
                <c:pt idx="111" formatCode="General">
                  <c:v>3.1080000000000001</c:v>
                </c:pt>
                <c:pt idx="112" formatCode="General">
                  <c:v>3.105</c:v>
                </c:pt>
                <c:pt idx="113" formatCode="General">
                  <c:v>3.101</c:v>
                </c:pt>
                <c:pt idx="114" formatCode="General">
                  <c:v>3.1379999999999999</c:v>
                </c:pt>
                <c:pt idx="115" formatCode="General">
                  <c:v>3.105</c:v>
                </c:pt>
                <c:pt idx="116" formatCode="General">
                  <c:v>3.0870000000000002</c:v>
                </c:pt>
                <c:pt idx="117" formatCode="General">
                  <c:v>3.0990000000000002</c:v>
                </c:pt>
                <c:pt idx="118" formatCode="General">
                  <c:v>3.0790000000000002</c:v>
                </c:pt>
                <c:pt idx="119" formatCode="General">
                  <c:v>3.1240000000000001</c:v>
                </c:pt>
                <c:pt idx="120" formatCode="General">
                  <c:v>3.2109999999999999</c:v>
                </c:pt>
                <c:pt idx="121" formatCode="General">
                  <c:v>3.2309999999999999</c:v>
                </c:pt>
                <c:pt idx="122" formatCode="General">
                  <c:v>3.226</c:v>
                </c:pt>
                <c:pt idx="123" formatCode="General">
                  <c:v>3.238</c:v>
                </c:pt>
                <c:pt idx="124" formatCode="General">
                  <c:v>3.1819999999999999</c:v>
                </c:pt>
                <c:pt idx="125" formatCode="General">
                  <c:v>3.18</c:v>
                </c:pt>
                <c:pt idx="126" formatCode="General">
                  <c:v>3.17</c:v>
                </c:pt>
                <c:pt idx="127" formatCode="General">
                  <c:v>3.1970000000000001</c:v>
                </c:pt>
                <c:pt idx="128" formatCode="General">
                  <c:v>3.1850000000000001</c:v>
                </c:pt>
                <c:pt idx="129" formatCode="General">
                  <c:v>3.242</c:v>
                </c:pt>
                <c:pt idx="130" formatCode="General">
                  <c:v>3.23</c:v>
                </c:pt>
                <c:pt idx="131" formatCode="General">
                  <c:v>3.2290000000000001</c:v>
                </c:pt>
                <c:pt idx="132" formatCode="General">
                  <c:v>3.1549999999999998</c:v>
                </c:pt>
                <c:pt idx="133" formatCode="General">
                  <c:v>3.1560000000000001</c:v>
                </c:pt>
                <c:pt idx="134" formatCode="General">
                  <c:v>3.1619999999999999</c:v>
                </c:pt>
                <c:pt idx="135" formatCode="General">
                  <c:v>3.0760000000000001</c:v>
                </c:pt>
                <c:pt idx="136" formatCode="General">
                  <c:v>3.1440000000000001</c:v>
                </c:pt>
                <c:pt idx="137" formatCode="General">
                  <c:v>3.13</c:v>
                </c:pt>
                <c:pt idx="138" formatCode="General">
                  <c:v>3.173</c:v>
                </c:pt>
                <c:pt idx="139" formatCode="General">
                  <c:v>3.1789999999999998</c:v>
                </c:pt>
                <c:pt idx="140" formatCode="General">
                  <c:v>3.2090000000000001</c:v>
                </c:pt>
                <c:pt idx="141" formatCode="General">
                  <c:v>3.2160000000000002</c:v>
                </c:pt>
                <c:pt idx="142" formatCode="General">
                  <c:v>3.2210000000000001</c:v>
                </c:pt>
                <c:pt idx="143" formatCode="General">
                  <c:v>3.2149999999999999</c:v>
                </c:pt>
                <c:pt idx="144" formatCode="General">
                  <c:v>3.238</c:v>
                </c:pt>
                <c:pt idx="145" formatCode="General">
                  <c:v>3.2120000000000002</c:v>
                </c:pt>
                <c:pt idx="146" formatCode="General">
                  <c:v>3.1760000000000002</c:v>
                </c:pt>
                <c:pt idx="147" formatCode="General">
                  <c:v>3.1110000000000002</c:v>
                </c:pt>
                <c:pt idx="148" formatCode="General">
                  <c:v>3.109</c:v>
                </c:pt>
                <c:pt idx="149" formatCode="General">
                  <c:v>3.0760000000000001</c:v>
                </c:pt>
                <c:pt idx="150" formatCode="General">
                  <c:v>3.0760000000000001</c:v>
                </c:pt>
                <c:pt idx="151" formatCode="General">
                  <c:v>3.097</c:v>
                </c:pt>
                <c:pt idx="152" formatCode="General">
                  <c:v>3.0609999999999999</c:v>
                </c:pt>
                <c:pt idx="153" formatCode="General">
                  <c:v>3.0920000000000001</c:v>
                </c:pt>
                <c:pt idx="154" formatCode="General">
                  <c:v>3.077</c:v>
                </c:pt>
                <c:pt idx="155" formatCode="General">
                  <c:v>3.0150000000000001</c:v>
                </c:pt>
                <c:pt idx="156" formatCode="General">
                  <c:v>3.0169999999999999</c:v>
                </c:pt>
                <c:pt idx="157" formatCode="General">
                  <c:v>3.0169999999999999</c:v>
                </c:pt>
                <c:pt idx="158" formatCode="General">
                  <c:v>2.9809999999999999</c:v>
                </c:pt>
                <c:pt idx="159" formatCode="General">
                  <c:v>2.859</c:v>
                </c:pt>
                <c:pt idx="160" formatCode="General">
                  <c:v>2.8359999999999999</c:v>
                </c:pt>
                <c:pt idx="161" formatCode="General">
                  <c:v>2.8530000000000002</c:v>
                </c:pt>
                <c:pt idx="162" formatCode="General">
                  <c:v>2.899</c:v>
                </c:pt>
                <c:pt idx="163" formatCode="General">
                  <c:v>2.8839999999999999</c:v>
                </c:pt>
                <c:pt idx="164" formatCode="General">
                  <c:v>2.859</c:v>
                </c:pt>
                <c:pt idx="165" formatCode="General">
                  <c:v>2.8180000000000001</c:v>
                </c:pt>
                <c:pt idx="166" formatCode="General">
                  <c:v>2.63</c:v>
                </c:pt>
                <c:pt idx="167" formatCode="General">
                  <c:v>2.69</c:v>
                </c:pt>
                <c:pt idx="168" formatCode="General">
                  <c:v>2.6859999999999999</c:v>
                </c:pt>
                <c:pt idx="169" formatCode="General">
                  <c:v>2.6749999999999998</c:v>
                </c:pt>
                <c:pt idx="170" formatCode="General">
                  <c:v>2.7040000000000002</c:v>
                </c:pt>
                <c:pt idx="171" formatCode="General">
                  <c:v>2.734</c:v>
                </c:pt>
                <c:pt idx="172" formatCode="General">
                  <c:v>2.73</c:v>
                </c:pt>
                <c:pt idx="173" formatCode="General">
                  <c:v>2.6949999999999998</c:v>
                </c:pt>
                <c:pt idx="174" formatCode="General">
                  <c:v>2.72</c:v>
                </c:pt>
                <c:pt idx="175" formatCode="General">
                  <c:v>2.6960000000000002</c:v>
                </c:pt>
                <c:pt idx="176" formatCode="General">
                  <c:v>2.7050000000000001</c:v>
                </c:pt>
                <c:pt idx="177" formatCode="General">
                  <c:v>2.6179999999999999</c:v>
                </c:pt>
                <c:pt idx="178" formatCode="General">
                  <c:v>2.6549999999999998</c:v>
                </c:pt>
                <c:pt idx="179" formatCode="General">
                  <c:v>2.698</c:v>
                </c:pt>
                <c:pt idx="180" formatCode="General">
                  <c:v>2.6680000000000001</c:v>
                </c:pt>
                <c:pt idx="181" formatCode="General">
                  <c:v>2.6589999999999998</c:v>
                </c:pt>
                <c:pt idx="182" formatCode="General">
                  <c:v>2.629</c:v>
                </c:pt>
                <c:pt idx="183" formatCode="General">
                  <c:v>2.6230000000000002</c:v>
                </c:pt>
                <c:pt idx="184" formatCode="General">
                  <c:v>2.649</c:v>
                </c:pt>
                <c:pt idx="185" formatCode="General">
                  <c:v>2.6280000000000001</c:v>
                </c:pt>
                <c:pt idx="186" formatCode="General">
                  <c:v>2.6469999999999998</c:v>
                </c:pt>
                <c:pt idx="187" formatCode="General">
                  <c:v>2.605</c:v>
                </c:pt>
                <c:pt idx="188" formatCode="General">
                  <c:v>2.617</c:v>
                </c:pt>
                <c:pt idx="189" formatCode="General">
                  <c:v>2.6459999999999999</c:v>
                </c:pt>
                <c:pt idx="190" formatCode="General">
                  <c:v>2.613</c:v>
                </c:pt>
                <c:pt idx="191" formatCode="General">
                  <c:v>2.6219999999999999</c:v>
                </c:pt>
                <c:pt idx="192" formatCode="General">
                  <c:v>2.5880000000000001</c:v>
                </c:pt>
                <c:pt idx="193" formatCode="General">
                  <c:v>2.62</c:v>
                </c:pt>
                <c:pt idx="194" formatCode="General">
                  <c:v>2.661</c:v>
                </c:pt>
                <c:pt idx="195" formatCode="General">
                  <c:v>2.6760000000000002</c:v>
                </c:pt>
                <c:pt idx="196" formatCode="General">
                  <c:v>2.6779999999999999</c:v>
                </c:pt>
                <c:pt idx="197" formatCode="General">
                  <c:v>2.6819999999999999</c:v>
                </c:pt>
                <c:pt idx="198" formatCode="General">
                  <c:v>2.6520000000000001</c:v>
                </c:pt>
                <c:pt idx="199" formatCode="General">
                  <c:v>2.6040000000000001</c:v>
                </c:pt>
                <c:pt idx="200" formatCode="General">
                  <c:v>2.5950000000000002</c:v>
                </c:pt>
                <c:pt idx="201" formatCode="General">
                  <c:v>2.577</c:v>
                </c:pt>
                <c:pt idx="202" formatCode="General">
                  <c:v>2.5630000000000002</c:v>
                </c:pt>
                <c:pt idx="203" formatCode="General">
                  <c:v>2.5680000000000001</c:v>
                </c:pt>
                <c:pt idx="204" formatCode="General">
                  <c:v>2.5419999999999998</c:v>
                </c:pt>
                <c:pt idx="205" formatCode="General">
                  <c:v>2.5529999999999999</c:v>
                </c:pt>
                <c:pt idx="206" formatCode="General">
                  <c:v>2.4620000000000002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E9B-4BF4-8AF1-02D0399DFDFF}"/>
            </c:ext>
          </c:extLst>
        </c:ser>
        <c:ser>
          <c:idx val="8"/>
          <c:order val="8"/>
          <c:tx>
            <c:strRef>
              <c:f>'Clean Swap Data'!$J$2</c:f>
              <c:strCache>
                <c:ptCount val="1"/>
                <c:pt idx="0">
                  <c:v>ICERATESUSD9Y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'Clean Swap Data'!$J$3:$J$210</c:f>
              <c:numCache>
                <c:formatCode>0.000</c:formatCode>
                <c:ptCount val="208"/>
                <c:pt idx="0">
                  <c:v>2.84</c:v>
                </c:pt>
                <c:pt idx="1">
                  <c:v>2.8559999999999999</c:v>
                </c:pt>
                <c:pt idx="2">
                  <c:v>2.843</c:v>
                </c:pt>
                <c:pt idx="3">
                  <c:v>2.8330000000000002</c:v>
                </c:pt>
                <c:pt idx="4">
                  <c:v>2.774</c:v>
                </c:pt>
                <c:pt idx="5">
                  <c:v>2.7869999999999999</c:v>
                </c:pt>
                <c:pt idx="6">
                  <c:v>2.794</c:v>
                </c:pt>
                <c:pt idx="7">
                  <c:v>2.7959999999999998</c:v>
                </c:pt>
                <c:pt idx="8">
                  <c:v>2.843</c:v>
                </c:pt>
                <c:pt idx="9">
                  <c:v>2.7970000000000002</c:v>
                </c:pt>
                <c:pt idx="10">
                  <c:v>2.8159999999999998</c:v>
                </c:pt>
                <c:pt idx="11">
                  <c:v>2.8090000000000002</c:v>
                </c:pt>
                <c:pt idx="12">
                  <c:v>2.839</c:v>
                </c:pt>
                <c:pt idx="13">
                  <c:v>2.851</c:v>
                </c:pt>
                <c:pt idx="14">
                  <c:v>2.8620000000000001</c:v>
                </c:pt>
                <c:pt idx="15">
                  <c:v>2.8540000000000001</c:v>
                </c:pt>
                <c:pt idx="16">
                  <c:v>2.86</c:v>
                </c:pt>
                <c:pt idx="17">
                  <c:v>2.92</c:v>
                </c:pt>
                <c:pt idx="18">
                  <c:v>2.9590000000000001</c:v>
                </c:pt>
                <c:pt idx="19">
                  <c:v>2.992</c:v>
                </c:pt>
                <c:pt idx="20">
                  <c:v>3.03</c:v>
                </c:pt>
                <c:pt idx="21">
                  <c:v>3.012</c:v>
                </c:pt>
                <c:pt idx="22">
                  <c:v>2.9729999999999999</c:v>
                </c:pt>
                <c:pt idx="23" formatCode="General">
                  <c:v>2.97</c:v>
                </c:pt>
                <c:pt idx="24" formatCode="General">
                  <c:v>2.99</c:v>
                </c:pt>
                <c:pt idx="25" formatCode="General">
                  <c:v>2.9849999999999999</c:v>
                </c:pt>
                <c:pt idx="26" formatCode="General">
                  <c:v>2.9510000000000001</c:v>
                </c:pt>
                <c:pt idx="27" formatCode="General">
                  <c:v>2.964</c:v>
                </c:pt>
                <c:pt idx="28" formatCode="General">
                  <c:v>2.976</c:v>
                </c:pt>
                <c:pt idx="29" formatCode="General">
                  <c:v>3.0009999999999999</c:v>
                </c:pt>
                <c:pt idx="30" formatCode="General">
                  <c:v>3.0089999999999999</c:v>
                </c:pt>
                <c:pt idx="31" formatCode="General">
                  <c:v>2.9969999999999999</c:v>
                </c:pt>
                <c:pt idx="32" formatCode="General">
                  <c:v>2.9990000000000001</c:v>
                </c:pt>
                <c:pt idx="33" formatCode="General">
                  <c:v>3.0009999999999999</c:v>
                </c:pt>
                <c:pt idx="34" formatCode="General">
                  <c:v>3.0680000000000001</c:v>
                </c:pt>
                <c:pt idx="35" formatCode="General">
                  <c:v>3.1040000000000001</c:v>
                </c:pt>
                <c:pt idx="36" formatCode="General">
                  <c:v>3.12</c:v>
                </c:pt>
                <c:pt idx="37" formatCode="General">
                  <c:v>3.0840000000000001</c:v>
                </c:pt>
                <c:pt idx="38" formatCode="General">
                  <c:v>3.089</c:v>
                </c:pt>
                <c:pt idx="39" formatCode="General">
                  <c:v>3.0870000000000002</c:v>
                </c:pt>
                <c:pt idx="40" formatCode="General">
                  <c:v>2.97</c:v>
                </c:pt>
                <c:pt idx="41" formatCode="General">
                  <c:v>2.9540000000000002</c:v>
                </c:pt>
                <c:pt idx="42" formatCode="General">
                  <c:v>2.8570000000000002</c:v>
                </c:pt>
                <c:pt idx="43" formatCode="General">
                  <c:v>2.9620000000000002</c:v>
                </c:pt>
                <c:pt idx="44" formatCode="General">
                  <c:v>2.9660000000000002</c:v>
                </c:pt>
                <c:pt idx="45" formatCode="General">
                  <c:v>3.0059999999999998</c:v>
                </c:pt>
                <c:pt idx="46" formatCode="General">
                  <c:v>3.0030000000000001</c:v>
                </c:pt>
                <c:pt idx="47" formatCode="General">
                  <c:v>2.97</c:v>
                </c:pt>
                <c:pt idx="48" formatCode="General">
                  <c:v>2.9449999999999998</c:v>
                </c:pt>
                <c:pt idx="49" formatCode="General">
                  <c:v>2.956</c:v>
                </c:pt>
                <c:pt idx="50" formatCode="General">
                  <c:v>2.9580000000000002</c:v>
                </c:pt>
                <c:pt idx="51" formatCode="General">
                  <c:v>2.9550000000000001</c:v>
                </c:pt>
                <c:pt idx="52" formatCode="General">
                  <c:v>2.927</c:v>
                </c:pt>
                <c:pt idx="53" formatCode="General">
                  <c:v>2.9289999999999998</c:v>
                </c:pt>
                <c:pt idx="54" formatCode="General">
                  <c:v>2.903</c:v>
                </c:pt>
                <c:pt idx="55" formatCode="General">
                  <c:v>2.91</c:v>
                </c:pt>
                <c:pt idx="56" formatCode="General">
                  <c:v>2.9220000000000002</c:v>
                </c:pt>
                <c:pt idx="57" formatCode="General">
                  <c:v>2.907</c:v>
                </c:pt>
                <c:pt idx="58" formatCode="General">
                  <c:v>2.8980000000000001</c:v>
                </c:pt>
                <c:pt idx="59" formatCode="General">
                  <c:v>2.8940000000000001</c:v>
                </c:pt>
                <c:pt idx="60" formatCode="General">
                  <c:v>2.9209999999999998</c:v>
                </c:pt>
                <c:pt idx="61" formatCode="General">
                  <c:v>2.9329999999999998</c:v>
                </c:pt>
                <c:pt idx="62" formatCode="General">
                  <c:v>2.9220000000000002</c:v>
                </c:pt>
                <c:pt idx="63" formatCode="General">
                  <c:v>2.9129999999999998</c:v>
                </c:pt>
                <c:pt idx="64" formatCode="General">
                  <c:v>2.8919999999999999</c:v>
                </c:pt>
                <c:pt idx="65" formatCode="General">
                  <c:v>2.9279999999999999</c:v>
                </c:pt>
                <c:pt idx="66" formatCode="General">
                  <c:v>2.9169999999999998</c:v>
                </c:pt>
                <c:pt idx="67" formatCode="General">
                  <c:v>2.92</c:v>
                </c:pt>
                <c:pt idx="68" formatCode="General">
                  <c:v>2.9169999999999998</c:v>
                </c:pt>
                <c:pt idx="69" formatCode="General">
                  <c:v>2.94</c:v>
                </c:pt>
                <c:pt idx="70" formatCode="General">
                  <c:v>2.9830000000000001</c:v>
                </c:pt>
                <c:pt idx="71" formatCode="General">
                  <c:v>3.0009999999999999</c:v>
                </c:pt>
                <c:pt idx="72" formatCode="General">
                  <c:v>2.98</c:v>
                </c:pt>
                <c:pt idx="73" formatCode="General">
                  <c:v>2.9990000000000001</c:v>
                </c:pt>
                <c:pt idx="74" formatCode="General">
                  <c:v>3.008</c:v>
                </c:pt>
                <c:pt idx="75" formatCode="General">
                  <c:v>3.028</c:v>
                </c:pt>
                <c:pt idx="76" formatCode="General">
                  <c:v>3.0179999999999998</c:v>
                </c:pt>
                <c:pt idx="77" formatCode="General">
                  <c:v>3.0590000000000002</c:v>
                </c:pt>
                <c:pt idx="78" formatCode="General">
                  <c:v>3.0459999999999998</c:v>
                </c:pt>
                <c:pt idx="79" formatCode="General">
                  <c:v>3.0139999999999998</c:v>
                </c:pt>
                <c:pt idx="80" formatCode="General">
                  <c:v>2.9910000000000001</c:v>
                </c:pt>
                <c:pt idx="81" formatCode="General">
                  <c:v>3.0139999999999998</c:v>
                </c:pt>
                <c:pt idx="82" formatCode="General">
                  <c:v>3.0110000000000001</c:v>
                </c:pt>
                <c:pt idx="83" formatCode="General">
                  <c:v>2.98</c:v>
                </c:pt>
                <c:pt idx="84" formatCode="General">
                  <c:v>2.9239999999999999</c:v>
                </c:pt>
                <c:pt idx="85" formatCode="General">
                  <c:v>2.9430000000000001</c:v>
                </c:pt>
                <c:pt idx="86" formatCode="General">
                  <c:v>2.891</c:v>
                </c:pt>
                <c:pt idx="87" formatCode="General">
                  <c:v>2.93</c:v>
                </c:pt>
                <c:pt idx="88" formatCode="General">
                  <c:v>2.9140000000000001</c:v>
                </c:pt>
                <c:pt idx="89" formatCode="General">
                  <c:v>2.891</c:v>
                </c:pt>
                <c:pt idx="90" formatCode="General">
                  <c:v>2.9020000000000001</c:v>
                </c:pt>
                <c:pt idx="91" formatCode="General">
                  <c:v>2.891</c:v>
                </c:pt>
                <c:pt idx="92" formatCode="General">
                  <c:v>2.887</c:v>
                </c:pt>
                <c:pt idx="93" formatCode="General">
                  <c:v>2.8889999999999998</c:v>
                </c:pt>
                <c:pt idx="94" formatCode="General">
                  <c:v>2.9039999999999999</c:v>
                </c:pt>
                <c:pt idx="95" formatCode="General">
                  <c:v>2.9369999999999998</c:v>
                </c:pt>
                <c:pt idx="96" formatCode="General">
                  <c:v>2.952</c:v>
                </c:pt>
                <c:pt idx="97" formatCode="General">
                  <c:v>2.9319999999999999</c:v>
                </c:pt>
                <c:pt idx="98" formatCode="General">
                  <c:v>2.9039999999999999</c:v>
                </c:pt>
                <c:pt idx="99" formatCode="General">
                  <c:v>2.95</c:v>
                </c:pt>
                <c:pt idx="100" formatCode="General">
                  <c:v>2.9510000000000001</c:v>
                </c:pt>
                <c:pt idx="101" formatCode="General">
                  <c:v>2.9289999999999998</c:v>
                </c:pt>
                <c:pt idx="102" formatCode="General">
                  <c:v>2.9910000000000001</c:v>
                </c:pt>
                <c:pt idx="103" formatCode="General">
                  <c:v>2.9849999999999999</c:v>
                </c:pt>
                <c:pt idx="104" formatCode="General">
                  <c:v>3.0139999999999998</c:v>
                </c:pt>
                <c:pt idx="105" formatCode="General">
                  <c:v>3.0110000000000001</c:v>
                </c:pt>
                <c:pt idx="106" formatCode="General">
                  <c:v>3.0139999999999998</c:v>
                </c:pt>
                <c:pt idx="107" formatCode="General">
                  <c:v>3.05</c:v>
                </c:pt>
                <c:pt idx="108" formatCode="General">
                  <c:v>3.0449999999999999</c:v>
                </c:pt>
                <c:pt idx="109" formatCode="General">
                  <c:v>3.077</c:v>
                </c:pt>
                <c:pt idx="110" formatCode="General">
                  <c:v>3.13</c:v>
                </c:pt>
                <c:pt idx="111" formatCode="General">
                  <c:v>3.1190000000000002</c:v>
                </c:pt>
                <c:pt idx="112" formatCode="General">
                  <c:v>3.117</c:v>
                </c:pt>
                <c:pt idx="113" formatCode="General">
                  <c:v>3.113</c:v>
                </c:pt>
                <c:pt idx="114" formatCode="General">
                  <c:v>3.15</c:v>
                </c:pt>
                <c:pt idx="115" formatCode="General">
                  <c:v>3.1160000000000001</c:v>
                </c:pt>
                <c:pt idx="116" formatCode="General">
                  <c:v>3.0979999999999999</c:v>
                </c:pt>
                <c:pt idx="117" formatCode="General">
                  <c:v>3.1110000000000002</c:v>
                </c:pt>
                <c:pt idx="118" formatCode="General">
                  <c:v>3.0910000000000002</c:v>
                </c:pt>
                <c:pt idx="119" formatCode="General">
                  <c:v>3.1360000000000001</c:v>
                </c:pt>
                <c:pt idx="120" formatCode="General">
                  <c:v>3.2269999999999999</c:v>
                </c:pt>
                <c:pt idx="121" formatCode="General">
                  <c:v>3.2469999999999999</c:v>
                </c:pt>
                <c:pt idx="122" formatCode="General">
                  <c:v>3.2410000000000001</c:v>
                </c:pt>
                <c:pt idx="123" formatCode="General">
                  <c:v>3.2549999999999999</c:v>
                </c:pt>
                <c:pt idx="124" formatCode="General">
                  <c:v>3.198</c:v>
                </c:pt>
                <c:pt idx="125" formatCode="General">
                  <c:v>3.1949999999999998</c:v>
                </c:pt>
                <c:pt idx="126" formatCode="General">
                  <c:v>3.1840000000000002</c:v>
                </c:pt>
                <c:pt idx="127" formatCode="General">
                  <c:v>3.2120000000000002</c:v>
                </c:pt>
                <c:pt idx="128" formatCode="General">
                  <c:v>3.2</c:v>
                </c:pt>
                <c:pt idx="129" formatCode="General">
                  <c:v>3.2559999999999998</c:v>
                </c:pt>
                <c:pt idx="130" formatCode="General">
                  <c:v>3.246</c:v>
                </c:pt>
                <c:pt idx="131" formatCode="General">
                  <c:v>3.2440000000000002</c:v>
                </c:pt>
                <c:pt idx="132" formatCode="General">
                  <c:v>3.1720000000000002</c:v>
                </c:pt>
                <c:pt idx="133" formatCode="General">
                  <c:v>3.1739999999999999</c:v>
                </c:pt>
                <c:pt idx="134" formatCode="General">
                  <c:v>3.1789999999999998</c:v>
                </c:pt>
                <c:pt idx="135" formatCode="General">
                  <c:v>3.0950000000000002</c:v>
                </c:pt>
                <c:pt idx="136" formatCode="General">
                  <c:v>3.1629999999999998</c:v>
                </c:pt>
                <c:pt idx="137" formatCode="General">
                  <c:v>3.149</c:v>
                </c:pt>
                <c:pt idx="138" formatCode="General">
                  <c:v>3.19</c:v>
                </c:pt>
                <c:pt idx="139" formatCode="General">
                  <c:v>3.198</c:v>
                </c:pt>
                <c:pt idx="140" formatCode="General">
                  <c:v>3.2290000000000001</c:v>
                </c:pt>
                <c:pt idx="141" formatCode="General">
                  <c:v>3.2290000000000001</c:v>
                </c:pt>
                <c:pt idx="142" formatCode="General">
                  <c:v>3.24</c:v>
                </c:pt>
                <c:pt idx="143" formatCode="General">
                  <c:v>3.2320000000000002</c:v>
                </c:pt>
                <c:pt idx="144" formatCode="General">
                  <c:v>3.2570000000000001</c:v>
                </c:pt>
                <c:pt idx="145" formatCode="General">
                  <c:v>3.2290000000000001</c:v>
                </c:pt>
                <c:pt idx="146" formatCode="General">
                  <c:v>3.194</c:v>
                </c:pt>
                <c:pt idx="147" formatCode="General">
                  <c:v>3.1320000000000001</c:v>
                </c:pt>
                <c:pt idx="148" formatCode="General">
                  <c:v>3.1320000000000001</c:v>
                </c:pt>
                <c:pt idx="149" formatCode="General">
                  <c:v>3.1</c:v>
                </c:pt>
                <c:pt idx="150" formatCode="General">
                  <c:v>3.1</c:v>
                </c:pt>
                <c:pt idx="151" formatCode="General">
                  <c:v>3.1190000000000002</c:v>
                </c:pt>
                <c:pt idx="152" formatCode="General">
                  <c:v>3.081</c:v>
                </c:pt>
                <c:pt idx="153" formatCode="General">
                  <c:v>3.113</c:v>
                </c:pt>
                <c:pt idx="154" formatCode="General">
                  <c:v>3.0979999999999999</c:v>
                </c:pt>
                <c:pt idx="155" formatCode="General">
                  <c:v>3.036</c:v>
                </c:pt>
                <c:pt idx="156" formatCode="General">
                  <c:v>3.0369999999999999</c:v>
                </c:pt>
                <c:pt idx="157" formatCode="General">
                  <c:v>3.0369999999999999</c:v>
                </c:pt>
                <c:pt idx="158" formatCode="General">
                  <c:v>2.9969999999999999</c:v>
                </c:pt>
                <c:pt idx="159" formatCode="General">
                  <c:v>2.8780000000000001</c:v>
                </c:pt>
                <c:pt idx="160" formatCode="General">
                  <c:v>2.8559999999999999</c:v>
                </c:pt>
                <c:pt idx="161" formatCode="General">
                  <c:v>2.8730000000000002</c:v>
                </c:pt>
                <c:pt idx="162" formatCode="General">
                  <c:v>2.92</c:v>
                </c:pt>
                <c:pt idx="163" formatCode="General">
                  <c:v>2.9060000000000001</c:v>
                </c:pt>
                <c:pt idx="164" formatCode="General">
                  <c:v>2.8809999999999998</c:v>
                </c:pt>
                <c:pt idx="165" formatCode="General">
                  <c:v>2.8410000000000002</c:v>
                </c:pt>
                <c:pt idx="166" formatCode="General">
                  <c:v>2.657</c:v>
                </c:pt>
                <c:pt idx="167" formatCode="General">
                  <c:v>2.7170000000000001</c:v>
                </c:pt>
                <c:pt idx="168" formatCode="General">
                  <c:v>2.7130000000000001</c:v>
                </c:pt>
                <c:pt idx="169" formatCode="General">
                  <c:v>2.7010000000000001</c:v>
                </c:pt>
                <c:pt idx="170" formatCode="General">
                  <c:v>2.73</c:v>
                </c:pt>
                <c:pt idx="171" formatCode="General">
                  <c:v>2.76</c:v>
                </c:pt>
                <c:pt idx="172" formatCode="General">
                  <c:v>2.7559999999999998</c:v>
                </c:pt>
                <c:pt idx="173" formatCode="General">
                  <c:v>2.7210000000000001</c:v>
                </c:pt>
                <c:pt idx="174" formatCode="General">
                  <c:v>2.746</c:v>
                </c:pt>
                <c:pt idx="175" formatCode="General">
                  <c:v>2.7229999999999999</c:v>
                </c:pt>
                <c:pt idx="176" formatCode="General">
                  <c:v>2.7309999999999999</c:v>
                </c:pt>
                <c:pt idx="177" formatCode="General">
                  <c:v>2.6459999999999999</c:v>
                </c:pt>
                <c:pt idx="178" formatCode="General">
                  <c:v>2.6819999999999999</c:v>
                </c:pt>
                <c:pt idx="179" formatCode="General">
                  <c:v>2.726</c:v>
                </c:pt>
                <c:pt idx="180" formatCode="General">
                  <c:v>2.6949999999999998</c:v>
                </c:pt>
                <c:pt idx="181" formatCode="General">
                  <c:v>2.6869999999999998</c:v>
                </c:pt>
                <c:pt idx="182" formatCode="General">
                  <c:v>2.657</c:v>
                </c:pt>
                <c:pt idx="183" formatCode="General">
                  <c:v>2.6509999999999998</c:v>
                </c:pt>
                <c:pt idx="184" formatCode="General">
                  <c:v>2.6779999999999999</c:v>
                </c:pt>
                <c:pt idx="185" formatCode="General">
                  <c:v>2.6629999999999998</c:v>
                </c:pt>
                <c:pt idx="186" formatCode="General">
                  <c:v>2.6749999999999998</c:v>
                </c:pt>
                <c:pt idx="187" formatCode="General">
                  <c:v>2.633</c:v>
                </c:pt>
                <c:pt idx="188" formatCode="General">
                  <c:v>2.6459999999999999</c:v>
                </c:pt>
                <c:pt idx="189" formatCode="General">
                  <c:v>2.6749999999999998</c:v>
                </c:pt>
                <c:pt idx="190" formatCode="General">
                  <c:v>2.6429999999999998</c:v>
                </c:pt>
                <c:pt idx="191" formatCode="General">
                  <c:v>2.6539999999999999</c:v>
                </c:pt>
                <c:pt idx="192" formatCode="General">
                  <c:v>2.6190000000000002</c:v>
                </c:pt>
                <c:pt idx="193" formatCode="General">
                  <c:v>2.6539999999999999</c:v>
                </c:pt>
                <c:pt idx="194" formatCode="General">
                  <c:v>2.694</c:v>
                </c:pt>
                <c:pt idx="195" formatCode="General">
                  <c:v>2.71</c:v>
                </c:pt>
                <c:pt idx="196" formatCode="General">
                  <c:v>2.7109999999999999</c:v>
                </c:pt>
                <c:pt idx="197" formatCode="General">
                  <c:v>2.7130000000000001</c:v>
                </c:pt>
                <c:pt idx="198" formatCode="General">
                  <c:v>2.6850000000000001</c:v>
                </c:pt>
                <c:pt idx="199" formatCode="General">
                  <c:v>2.6379999999999999</c:v>
                </c:pt>
                <c:pt idx="200" formatCode="General">
                  <c:v>2.629</c:v>
                </c:pt>
                <c:pt idx="201" formatCode="General">
                  <c:v>2.6110000000000002</c:v>
                </c:pt>
                <c:pt idx="202" formatCode="General">
                  <c:v>2.5950000000000002</c:v>
                </c:pt>
                <c:pt idx="203" formatCode="General">
                  <c:v>2.6019999999999999</c:v>
                </c:pt>
                <c:pt idx="204" formatCode="General">
                  <c:v>2.5760000000000001</c:v>
                </c:pt>
                <c:pt idx="205" formatCode="General">
                  <c:v>2.585</c:v>
                </c:pt>
                <c:pt idx="206" formatCode="General">
                  <c:v>2.4950000000000001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E9B-4BF4-8AF1-02D0399DFDFF}"/>
            </c:ext>
          </c:extLst>
        </c:ser>
        <c:ser>
          <c:idx val="9"/>
          <c:order val="9"/>
          <c:tx>
            <c:strRef>
              <c:f>'Clean Swap Data'!$K$2</c:f>
              <c:strCache>
                <c:ptCount val="1"/>
                <c:pt idx="0">
                  <c:v>ICERATESUSD10Y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'Clean Swap Data'!$K$3:$K$210</c:f>
              <c:numCache>
                <c:formatCode>0.000</c:formatCode>
                <c:ptCount val="208"/>
                <c:pt idx="0">
                  <c:v>2.855</c:v>
                </c:pt>
                <c:pt idx="1">
                  <c:v>2.8740000000000001</c:v>
                </c:pt>
                <c:pt idx="2">
                  <c:v>2.859</c:v>
                </c:pt>
                <c:pt idx="3">
                  <c:v>2.851</c:v>
                </c:pt>
                <c:pt idx="4">
                  <c:v>2.7890000000000001</c:v>
                </c:pt>
                <c:pt idx="5">
                  <c:v>2.8039999999999998</c:v>
                </c:pt>
                <c:pt idx="6">
                  <c:v>2.8090000000000002</c:v>
                </c:pt>
                <c:pt idx="7">
                  <c:v>2.8109999999999999</c:v>
                </c:pt>
                <c:pt idx="8">
                  <c:v>2.86</c:v>
                </c:pt>
                <c:pt idx="9">
                  <c:v>2.8130000000000002</c:v>
                </c:pt>
                <c:pt idx="10">
                  <c:v>2.8319999999999999</c:v>
                </c:pt>
                <c:pt idx="11">
                  <c:v>2.8239999999999998</c:v>
                </c:pt>
                <c:pt idx="12">
                  <c:v>2.8530000000000002</c:v>
                </c:pt>
                <c:pt idx="13">
                  <c:v>2.8639999999999999</c:v>
                </c:pt>
                <c:pt idx="14">
                  <c:v>2.8740000000000001</c:v>
                </c:pt>
                <c:pt idx="15">
                  <c:v>2.8650000000000002</c:v>
                </c:pt>
                <c:pt idx="16">
                  <c:v>2.8690000000000002</c:v>
                </c:pt>
                <c:pt idx="17">
                  <c:v>2.9319999999999999</c:v>
                </c:pt>
                <c:pt idx="18">
                  <c:v>2.972</c:v>
                </c:pt>
                <c:pt idx="19">
                  <c:v>3.0059999999999998</c:v>
                </c:pt>
                <c:pt idx="20">
                  <c:v>3.0449999999999999</c:v>
                </c:pt>
                <c:pt idx="21">
                  <c:v>3.028</c:v>
                </c:pt>
                <c:pt idx="22">
                  <c:v>2.9860000000000002</c:v>
                </c:pt>
                <c:pt idx="23" formatCode="General">
                  <c:v>2.9820000000000002</c:v>
                </c:pt>
                <c:pt idx="24" formatCode="General">
                  <c:v>3.0019999999999998</c:v>
                </c:pt>
                <c:pt idx="25" formatCode="General">
                  <c:v>2.996</c:v>
                </c:pt>
                <c:pt idx="26" formatCode="General">
                  <c:v>2.964</c:v>
                </c:pt>
                <c:pt idx="27" formatCode="General">
                  <c:v>2.9769999999999999</c:v>
                </c:pt>
                <c:pt idx="28" formatCode="General">
                  <c:v>2.988</c:v>
                </c:pt>
                <c:pt idx="29" formatCode="General">
                  <c:v>3.0139999999999998</c:v>
                </c:pt>
                <c:pt idx="30" formatCode="General">
                  <c:v>3.024</c:v>
                </c:pt>
                <c:pt idx="31" formatCode="General">
                  <c:v>3.0110000000000001</c:v>
                </c:pt>
                <c:pt idx="32" formatCode="General">
                  <c:v>3.0139999999999998</c:v>
                </c:pt>
                <c:pt idx="33" formatCode="General">
                  <c:v>3.016</c:v>
                </c:pt>
                <c:pt idx="34" formatCode="General">
                  <c:v>3.085</c:v>
                </c:pt>
                <c:pt idx="35" formatCode="General">
                  <c:v>3.12</c:v>
                </c:pt>
                <c:pt idx="36" formatCode="General">
                  <c:v>3.137</c:v>
                </c:pt>
                <c:pt idx="37" formatCode="General">
                  <c:v>3.1019999999999999</c:v>
                </c:pt>
                <c:pt idx="38" formatCode="General">
                  <c:v>3.1059999999999999</c:v>
                </c:pt>
                <c:pt idx="39" formatCode="General">
                  <c:v>3.1040000000000001</c:v>
                </c:pt>
                <c:pt idx="40" formatCode="General">
                  <c:v>2.9870000000000001</c:v>
                </c:pt>
                <c:pt idx="41" formatCode="General">
                  <c:v>2.9689999999999999</c:v>
                </c:pt>
                <c:pt idx="42" formatCode="General">
                  <c:v>2.875</c:v>
                </c:pt>
                <c:pt idx="43" formatCode="General">
                  <c:v>2.976</c:v>
                </c:pt>
                <c:pt idx="44" formatCode="General">
                  <c:v>2.9809999999999999</c:v>
                </c:pt>
                <c:pt idx="45" formatCode="General">
                  <c:v>3.0219999999999998</c:v>
                </c:pt>
                <c:pt idx="46" formatCode="General">
                  <c:v>3.0179999999999998</c:v>
                </c:pt>
                <c:pt idx="47" formatCode="General">
                  <c:v>2.98</c:v>
                </c:pt>
                <c:pt idx="48" formatCode="General">
                  <c:v>2.9569999999999999</c:v>
                </c:pt>
                <c:pt idx="49" formatCode="General">
                  <c:v>2.9670000000000001</c:v>
                </c:pt>
                <c:pt idx="50" formatCode="General">
                  <c:v>2.97</c:v>
                </c:pt>
                <c:pt idx="51" formatCode="General">
                  <c:v>2.968</c:v>
                </c:pt>
                <c:pt idx="52" formatCode="General">
                  <c:v>2.9390000000000001</c:v>
                </c:pt>
                <c:pt idx="53" formatCode="General">
                  <c:v>2.9409999999999998</c:v>
                </c:pt>
                <c:pt idx="54" formatCode="General">
                  <c:v>2.9140000000000001</c:v>
                </c:pt>
                <c:pt idx="55" formatCode="General">
                  <c:v>2.92</c:v>
                </c:pt>
                <c:pt idx="56" formatCode="General">
                  <c:v>2.9319999999999999</c:v>
                </c:pt>
                <c:pt idx="57" formatCode="General">
                  <c:v>2.9169999999999998</c:v>
                </c:pt>
                <c:pt idx="58" formatCode="General">
                  <c:v>2.9079999999999999</c:v>
                </c:pt>
                <c:pt idx="59" formatCode="General">
                  <c:v>2.903</c:v>
                </c:pt>
                <c:pt idx="60" formatCode="General">
                  <c:v>2.931</c:v>
                </c:pt>
                <c:pt idx="61" formatCode="General">
                  <c:v>2.9430000000000001</c:v>
                </c:pt>
                <c:pt idx="62" formatCode="General">
                  <c:v>2.931</c:v>
                </c:pt>
                <c:pt idx="63" formatCode="General">
                  <c:v>2.9209999999999998</c:v>
                </c:pt>
                <c:pt idx="64" formatCode="General">
                  <c:v>2.9009999999999998</c:v>
                </c:pt>
                <c:pt idx="65" formatCode="General">
                  <c:v>2.9369999999999998</c:v>
                </c:pt>
                <c:pt idx="66" formatCode="General">
                  <c:v>2.9260000000000002</c:v>
                </c:pt>
                <c:pt idx="67" formatCode="General">
                  <c:v>2.93</c:v>
                </c:pt>
                <c:pt idx="68" formatCode="General">
                  <c:v>2.9260000000000002</c:v>
                </c:pt>
                <c:pt idx="69" formatCode="General">
                  <c:v>2.952</c:v>
                </c:pt>
                <c:pt idx="70" formatCode="General">
                  <c:v>2.9950000000000001</c:v>
                </c:pt>
                <c:pt idx="71" formatCode="General">
                  <c:v>3.0129999999999999</c:v>
                </c:pt>
                <c:pt idx="72" formatCode="General">
                  <c:v>2.99</c:v>
                </c:pt>
                <c:pt idx="73" formatCode="General">
                  <c:v>3.0110000000000001</c:v>
                </c:pt>
                <c:pt idx="74" formatCode="General">
                  <c:v>3.0209999999999999</c:v>
                </c:pt>
                <c:pt idx="75" formatCode="General">
                  <c:v>3.04</c:v>
                </c:pt>
                <c:pt idx="76" formatCode="General">
                  <c:v>3.0310000000000001</c:v>
                </c:pt>
                <c:pt idx="77" formatCode="General">
                  <c:v>3.0710000000000002</c:v>
                </c:pt>
                <c:pt idx="78" formatCode="General">
                  <c:v>3.06</c:v>
                </c:pt>
                <c:pt idx="79" formatCode="General">
                  <c:v>3.028</c:v>
                </c:pt>
                <c:pt idx="80" formatCode="General">
                  <c:v>3.0030000000000001</c:v>
                </c:pt>
                <c:pt idx="81" formatCode="General">
                  <c:v>3.0259999999999998</c:v>
                </c:pt>
                <c:pt idx="82" formatCode="General">
                  <c:v>3.024</c:v>
                </c:pt>
                <c:pt idx="83" formatCode="General">
                  <c:v>2.992</c:v>
                </c:pt>
                <c:pt idx="84" formatCode="General">
                  <c:v>2.9380000000000002</c:v>
                </c:pt>
                <c:pt idx="85" formatCode="General">
                  <c:v>2.956</c:v>
                </c:pt>
                <c:pt idx="86" formatCode="General">
                  <c:v>2.9049999999999998</c:v>
                </c:pt>
                <c:pt idx="87" formatCode="General">
                  <c:v>2.9430000000000001</c:v>
                </c:pt>
                <c:pt idx="88" formatCode="General">
                  <c:v>2.9260000000000002</c:v>
                </c:pt>
                <c:pt idx="89" formatCode="General">
                  <c:v>2.903</c:v>
                </c:pt>
                <c:pt idx="90" formatCode="General">
                  <c:v>2.915</c:v>
                </c:pt>
                <c:pt idx="91" formatCode="General">
                  <c:v>2.9039999999999999</c:v>
                </c:pt>
                <c:pt idx="92" formatCode="General">
                  <c:v>2.899</c:v>
                </c:pt>
                <c:pt idx="93" formatCode="General">
                  <c:v>2.9</c:v>
                </c:pt>
                <c:pt idx="94" formatCode="General">
                  <c:v>2.9159999999999999</c:v>
                </c:pt>
                <c:pt idx="95" formatCode="General">
                  <c:v>2.9510000000000001</c:v>
                </c:pt>
                <c:pt idx="96" formatCode="General">
                  <c:v>2.964</c:v>
                </c:pt>
                <c:pt idx="97" formatCode="General">
                  <c:v>2.944</c:v>
                </c:pt>
                <c:pt idx="98" formatCode="General">
                  <c:v>2.9159999999999999</c:v>
                </c:pt>
                <c:pt idx="99" formatCode="General">
                  <c:v>2.9649999999999999</c:v>
                </c:pt>
                <c:pt idx="100" formatCode="General">
                  <c:v>2.9660000000000002</c:v>
                </c:pt>
                <c:pt idx="101" formatCode="General">
                  <c:v>2.944</c:v>
                </c:pt>
                <c:pt idx="102" formatCode="General">
                  <c:v>3.004</c:v>
                </c:pt>
                <c:pt idx="103" formatCode="General">
                  <c:v>2.9980000000000002</c:v>
                </c:pt>
                <c:pt idx="104" formatCode="General">
                  <c:v>3.0259999999999998</c:v>
                </c:pt>
                <c:pt idx="105" formatCode="General">
                  <c:v>3.0230000000000001</c:v>
                </c:pt>
                <c:pt idx="106" formatCode="General">
                  <c:v>3.0249999999999999</c:v>
                </c:pt>
                <c:pt idx="107" formatCode="General">
                  <c:v>3.06</c:v>
                </c:pt>
                <c:pt idx="108" formatCode="General">
                  <c:v>3.0550000000000002</c:v>
                </c:pt>
                <c:pt idx="109" formatCode="General">
                  <c:v>3.089</c:v>
                </c:pt>
                <c:pt idx="110" formatCode="General">
                  <c:v>3.1440000000000001</c:v>
                </c:pt>
                <c:pt idx="111" formatCode="General">
                  <c:v>3.1339999999999999</c:v>
                </c:pt>
                <c:pt idx="112" formatCode="General">
                  <c:v>3.129</c:v>
                </c:pt>
                <c:pt idx="113" formatCode="General">
                  <c:v>3.125</c:v>
                </c:pt>
                <c:pt idx="114" formatCode="General">
                  <c:v>3.1619999999999999</c:v>
                </c:pt>
                <c:pt idx="115" formatCode="General">
                  <c:v>3.1259999999999999</c:v>
                </c:pt>
                <c:pt idx="116" formatCode="General">
                  <c:v>3.11</c:v>
                </c:pt>
                <c:pt idx="117" formatCode="General">
                  <c:v>3.1240000000000001</c:v>
                </c:pt>
                <c:pt idx="118" formatCode="General">
                  <c:v>3.1030000000000002</c:v>
                </c:pt>
                <c:pt idx="119" formatCode="General">
                  <c:v>3.149</c:v>
                </c:pt>
                <c:pt idx="120" formatCode="General">
                  <c:v>3.242</c:v>
                </c:pt>
                <c:pt idx="121" formatCode="General">
                  <c:v>3.262</c:v>
                </c:pt>
                <c:pt idx="122" formatCode="General">
                  <c:v>3.2559999999999998</c:v>
                </c:pt>
                <c:pt idx="123" formatCode="General">
                  <c:v>3.27</c:v>
                </c:pt>
                <c:pt idx="124" formatCode="General">
                  <c:v>3.2130000000000001</c:v>
                </c:pt>
                <c:pt idx="125" formatCode="General">
                  <c:v>3.21</c:v>
                </c:pt>
                <c:pt idx="126" formatCode="General">
                  <c:v>3.1989999999999998</c:v>
                </c:pt>
                <c:pt idx="127" formatCode="General">
                  <c:v>3.2269999999999999</c:v>
                </c:pt>
                <c:pt idx="128" formatCode="General">
                  <c:v>3.2149999999999999</c:v>
                </c:pt>
                <c:pt idx="129" formatCode="General">
                  <c:v>3.27</c:v>
                </c:pt>
                <c:pt idx="130" formatCode="General">
                  <c:v>3.2610000000000001</c:v>
                </c:pt>
                <c:pt idx="131" formatCode="General">
                  <c:v>3.258</c:v>
                </c:pt>
                <c:pt idx="132" formatCode="General">
                  <c:v>3.1880000000000002</c:v>
                </c:pt>
                <c:pt idx="133" formatCode="General">
                  <c:v>3.1909999999999998</c:v>
                </c:pt>
                <c:pt idx="134" formatCode="General">
                  <c:v>3.1960000000000002</c:v>
                </c:pt>
                <c:pt idx="135" formatCode="General">
                  <c:v>3.1139999999999999</c:v>
                </c:pt>
                <c:pt idx="136" formatCode="General">
                  <c:v>3.1829999999999998</c:v>
                </c:pt>
                <c:pt idx="137" formatCode="General">
                  <c:v>3.1680000000000001</c:v>
                </c:pt>
                <c:pt idx="138" formatCode="General">
                  <c:v>3.2090000000000001</c:v>
                </c:pt>
                <c:pt idx="139" formatCode="General">
                  <c:v>3.2170000000000001</c:v>
                </c:pt>
                <c:pt idx="140" formatCode="General">
                  <c:v>3.2480000000000002</c:v>
                </c:pt>
                <c:pt idx="141" formatCode="General">
                  <c:v>3.258</c:v>
                </c:pt>
                <c:pt idx="142" formatCode="General">
                  <c:v>3.2610000000000001</c:v>
                </c:pt>
                <c:pt idx="143" formatCode="General">
                  <c:v>3.2509999999999999</c:v>
                </c:pt>
                <c:pt idx="144" formatCode="General">
                  <c:v>3.2759999999999998</c:v>
                </c:pt>
                <c:pt idx="145" formatCode="General">
                  <c:v>3.2469999999999999</c:v>
                </c:pt>
                <c:pt idx="146" formatCode="General">
                  <c:v>3.214</c:v>
                </c:pt>
                <c:pt idx="147" formatCode="General">
                  <c:v>3.1539999999999999</c:v>
                </c:pt>
                <c:pt idx="148" formatCode="General">
                  <c:v>3.1549999999999998</c:v>
                </c:pt>
                <c:pt idx="149" formatCode="General">
                  <c:v>3.1240000000000001</c:v>
                </c:pt>
                <c:pt idx="150" formatCode="General">
                  <c:v>3.1230000000000002</c:v>
                </c:pt>
                <c:pt idx="151" formatCode="General">
                  <c:v>3.141</c:v>
                </c:pt>
                <c:pt idx="152" formatCode="General">
                  <c:v>3.1030000000000002</c:v>
                </c:pt>
                <c:pt idx="153" formatCode="General">
                  <c:v>3.1349999999999998</c:v>
                </c:pt>
                <c:pt idx="154" formatCode="General">
                  <c:v>3.1179999999999999</c:v>
                </c:pt>
                <c:pt idx="155" formatCode="General">
                  <c:v>3.0569999999999999</c:v>
                </c:pt>
                <c:pt idx="156" formatCode="General">
                  <c:v>3.0569999999999999</c:v>
                </c:pt>
                <c:pt idx="157" formatCode="General">
                  <c:v>3.0579999999999998</c:v>
                </c:pt>
                <c:pt idx="158" formatCode="General">
                  <c:v>3.0139999999999998</c:v>
                </c:pt>
                <c:pt idx="159" formatCode="General">
                  <c:v>2.899</c:v>
                </c:pt>
                <c:pt idx="160" formatCode="General">
                  <c:v>2.8780000000000001</c:v>
                </c:pt>
                <c:pt idx="161" formatCode="General">
                  <c:v>2.8929999999999998</c:v>
                </c:pt>
                <c:pt idx="162" formatCode="General">
                  <c:v>2.9409999999999998</c:v>
                </c:pt>
                <c:pt idx="163" formatCode="General">
                  <c:v>2.9279999999999999</c:v>
                </c:pt>
                <c:pt idx="164" formatCode="General">
                  <c:v>2.903</c:v>
                </c:pt>
                <c:pt idx="165" formatCode="General">
                  <c:v>2.8650000000000002</c:v>
                </c:pt>
                <c:pt idx="166" formatCode="General">
                  <c:v>2.6859999999999999</c:v>
                </c:pt>
                <c:pt idx="167" formatCode="General">
                  <c:v>2.7429999999999999</c:v>
                </c:pt>
                <c:pt idx="168" formatCode="General">
                  <c:v>2.7410000000000001</c:v>
                </c:pt>
                <c:pt idx="169" formatCode="General">
                  <c:v>2.7280000000000002</c:v>
                </c:pt>
                <c:pt idx="170" formatCode="General">
                  <c:v>2.758</c:v>
                </c:pt>
                <c:pt idx="171" formatCode="General">
                  <c:v>2.786</c:v>
                </c:pt>
                <c:pt idx="172" formatCode="General">
                  <c:v>2.782</c:v>
                </c:pt>
                <c:pt idx="173" formatCode="General">
                  <c:v>2.7480000000000002</c:v>
                </c:pt>
                <c:pt idx="174" formatCode="General">
                  <c:v>2.7709999999999999</c:v>
                </c:pt>
                <c:pt idx="175" formatCode="General">
                  <c:v>2.75</c:v>
                </c:pt>
                <c:pt idx="176" formatCode="General">
                  <c:v>2.7570000000000001</c:v>
                </c:pt>
                <c:pt idx="177" formatCode="General">
                  <c:v>2.6739999999999999</c:v>
                </c:pt>
                <c:pt idx="178" formatCode="General">
                  <c:v>2.71</c:v>
                </c:pt>
                <c:pt idx="179" formatCode="General">
                  <c:v>2.754</c:v>
                </c:pt>
                <c:pt idx="180" formatCode="General">
                  <c:v>2.722</c:v>
                </c:pt>
                <c:pt idx="181" formatCode="General">
                  <c:v>2.7149999999999999</c:v>
                </c:pt>
                <c:pt idx="182" formatCode="General">
                  <c:v>2.6859999999999999</c:v>
                </c:pt>
                <c:pt idx="183" formatCode="General">
                  <c:v>2.6789999999999998</c:v>
                </c:pt>
                <c:pt idx="184" formatCode="General">
                  <c:v>2.7069999999999999</c:v>
                </c:pt>
                <c:pt idx="185" formatCode="General">
                  <c:v>2.6869999999999998</c:v>
                </c:pt>
                <c:pt idx="186" formatCode="General">
                  <c:v>2.702</c:v>
                </c:pt>
                <c:pt idx="187" formatCode="General">
                  <c:v>2.661</c:v>
                </c:pt>
                <c:pt idx="188" formatCode="General">
                  <c:v>2.6760000000000002</c:v>
                </c:pt>
                <c:pt idx="189" formatCode="General">
                  <c:v>2.7050000000000001</c:v>
                </c:pt>
                <c:pt idx="190" formatCode="General">
                  <c:v>2.6720000000000002</c:v>
                </c:pt>
                <c:pt idx="191" formatCode="General">
                  <c:v>2.6850000000000001</c:v>
                </c:pt>
                <c:pt idx="192" formatCode="General">
                  <c:v>2.6509999999999998</c:v>
                </c:pt>
                <c:pt idx="193" formatCode="General">
                  <c:v>2.6869999999999998</c:v>
                </c:pt>
                <c:pt idx="194" formatCode="General">
                  <c:v>2.7269999999999999</c:v>
                </c:pt>
                <c:pt idx="195" formatCode="General">
                  <c:v>2.7440000000000002</c:v>
                </c:pt>
                <c:pt idx="196" formatCode="General">
                  <c:v>2.742</c:v>
                </c:pt>
                <c:pt idx="197" formatCode="General">
                  <c:v>2.7450000000000001</c:v>
                </c:pt>
                <c:pt idx="198" formatCode="General">
                  <c:v>2.7170000000000001</c:v>
                </c:pt>
                <c:pt idx="199" formatCode="General">
                  <c:v>2.67</c:v>
                </c:pt>
                <c:pt idx="200" formatCode="General">
                  <c:v>2.661</c:v>
                </c:pt>
                <c:pt idx="201" formatCode="General">
                  <c:v>2.6429999999999998</c:v>
                </c:pt>
                <c:pt idx="202" formatCode="General">
                  <c:v>2.6259999999999999</c:v>
                </c:pt>
                <c:pt idx="203" formatCode="General">
                  <c:v>2.6339999999999999</c:v>
                </c:pt>
                <c:pt idx="204" formatCode="General">
                  <c:v>2.6080000000000001</c:v>
                </c:pt>
                <c:pt idx="205" formatCode="General">
                  <c:v>2.6190000000000002</c:v>
                </c:pt>
                <c:pt idx="206" formatCode="General">
                  <c:v>2.5270000000000001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E9B-4BF4-8AF1-02D0399DFD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14159008"/>
        <c:axId val="1014161728"/>
      </c:lineChart>
      <c:catAx>
        <c:axId val="101415900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4161728"/>
        <c:crosses val="autoZero"/>
        <c:auto val="1"/>
        <c:lblAlgn val="ctr"/>
        <c:lblOffset val="100"/>
        <c:noMultiLvlLbl val="0"/>
      </c:catAx>
      <c:valAx>
        <c:axId val="101416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4159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diffs!$B$16</c:f>
              <c:strCache>
                <c:ptCount val="1"/>
                <c:pt idx="0">
                  <c:v>cumulative %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diffs!$B$17:$B$26</c:f>
              <c:numCache>
                <c:formatCode>0.00%</c:formatCode>
                <c:ptCount val="10"/>
                <c:pt idx="0">
                  <c:v>0.96733276688925751</c:v>
                </c:pt>
                <c:pt idx="1">
                  <c:v>0.99019926655498469</c:v>
                </c:pt>
                <c:pt idx="2">
                  <c:v>0.99886479903436842</c:v>
                </c:pt>
                <c:pt idx="3">
                  <c:v>0.99955693132263013</c:v>
                </c:pt>
                <c:pt idx="4">
                  <c:v>0.99972602805756716</c:v>
                </c:pt>
                <c:pt idx="5">
                  <c:v>0.99982675743319993</c:v>
                </c:pt>
                <c:pt idx="6">
                  <c:v>0.99990907416127084</c:v>
                </c:pt>
                <c:pt idx="7">
                  <c:v>0.99994425287595712</c:v>
                </c:pt>
                <c:pt idx="8">
                  <c:v>0.99997545605513494</c:v>
                </c:pt>
                <c:pt idx="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1D-4196-BA59-7E48B34FA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14160096"/>
        <c:axId val="1014153024"/>
      </c:lineChart>
      <c:catAx>
        <c:axId val="10141600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4153024"/>
        <c:crosses val="autoZero"/>
        <c:auto val="1"/>
        <c:lblAlgn val="ctr"/>
        <c:lblOffset val="100"/>
        <c:noMultiLvlLbl val="0"/>
      </c:catAx>
      <c:valAx>
        <c:axId val="101415302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416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diffs!$D$17:$D$26</c:f>
              <c:numCache>
                <c:formatCode>General</c:formatCode>
                <c:ptCount val="10"/>
                <c:pt idx="0">
                  <c:v>0.11970991434356371</c:v>
                </c:pt>
                <c:pt idx="1">
                  <c:v>0.26762040142008237</c:v>
                </c:pt>
                <c:pt idx="2">
                  <c:v>0.3180993036167859</c:v>
                </c:pt>
                <c:pt idx="3">
                  <c:v>0.33698004019474082</c:v>
                </c:pt>
                <c:pt idx="4">
                  <c:v>0.34270672536149527</c:v>
                </c:pt>
                <c:pt idx="5">
                  <c:v>0.34411351126198719</c:v>
                </c:pt>
                <c:pt idx="6">
                  <c:v>0.34432688177631204</c:v>
                </c:pt>
                <c:pt idx="7">
                  <c:v>0.34170920232632368</c:v>
                </c:pt>
                <c:pt idx="8">
                  <c:v>0.33926756894932553</c:v>
                </c:pt>
                <c:pt idx="9">
                  <c:v>0.33617773669645079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53-450E-B579-F528D51AD37D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diffs!$E$17:$E$26</c:f>
              <c:numCache>
                <c:formatCode>General</c:formatCode>
                <c:ptCount val="10"/>
                <c:pt idx="0">
                  <c:v>-0.50763660857099335</c:v>
                </c:pt>
                <c:pt idx="1">
                  <c:v>-0.47709357290767418</c:v>
                </c:pt>
                <c:pt idx="2">
                  <c:v>-0.36459926529248948</c:v>
                </c:pt>
                <c:pt idx="3">
                  <c:v>-0.21181909664847939</c:v>
                </c:pt>
                <c:pt idx="4">
                  <c:v>-5.9136140813343299E-2</c:v>
                </c:pt>
                <c:pt idx="5">
                  <c:v>6.138461413957827E-2</c:v>
                </c:pt>
                <c:pt idx="6">
                  <c:v>0.16656452261016672</c:v>
                </c:pt>
                <c:pt idx="7">
                  <c:v>0.24532024772258415</c:v>
                </c:pt>
                <c:pt idx="8">
                  <c:v>0.31514142284985747</c:v>
                </c:pt>
                <c:pt idx="9">
                  <c:v>0.37733513994553042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53-450E-B579-F528D51AD37D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diffs!$F$17:$F$26</c:f>
              <c:numCache>
                <c:formatCode>General</c:formatCode>
                <c:ptCount val="10"/>
                <c:pt idx="0">
                  <c:v>0.84479896084446005</c:v>
                </c:pt>
                <c:pt idx="1">
                  <c:v>-0.22355060179733491</c:v>
                </c:pt>
                <c:pt idx="2">
                  <c:v>-0.26924149690721194</c:v>
                </c:pt>
                <c:pt idx="3">
                  <c:v>-0.22648945582325586</c:v>
                </c:pt>
                <c:pt idx="4">
                  <c:v>-0.13859816946338066</c:v>
                </c:pt>
                <c:pt idx="5">
                  <c:v>-4.8627010973817081E-2</c:v>
                </c:pt>
                <c:pt idx="6">
                  <c:v>4.789132352131005E-2</c:v>
                </c:pt>
                <c:pt idx="7">
                  <c:v>0.10838145524171434</c:v>
                </c:pt>
                <c:pt idx="8">
                  <c:v>0.17017213300711892</c:v>
                </c:pt>
                <c:pt idx="9">
                  <c:v>0.21904034925155741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53-450E-B579-F528D51AD3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14162816"/>
        <c:axId val="1014156832"/>
      </c:lineChart>
      <c:catAx>
        <c:axId val="10141628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4156832"/>
        <c:crosses val="autoZero"/>
        <c:auto val="1"/>
        <c:lblAlgn val="ctr"/>
        <c:lblOffset val="100"/>
        <c:noMultiLvlLbl val="0"/>
      </c:catAx>
      <c:valAx>
        <c:axId val="1014156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4162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0</xdr:rowOff>
    </xdr:from>
    <xdr:to>
      <xdr:col>19</xdr:col>
      <xdr:colOff>304800</xdr:colOff>
      <xdr:row>15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585787</xdr:colOff>
      <xdr:row>13</xdr:row>
      <xdr:rowOff>57150</xdr:rowOff>
    </xdr:from>
    <xdr:to>
      <xdr:col>25</xdr:col>
      <xdr:colOff>581025</xdr:colOff>
      <xdr:row>27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581025</xdr:colOff>
      <xdr:row>12</xdr:row>
      <xdr:rowOff>57150</xdr:rowOff>
    </xdr:from>
    <xdr:to>
      <xdr:col>19</xdr:col>
      <xdr:colOff>604837</xdr:colOff>
      <xdr:row>26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K209"/>
  <sheetViews>
    <sheetView topLeftCell="D1" workbookViewId="0">
      <selection activeCell="N26" sqref="N26"/>
    </sheetView>
  </sheetViews>
  <sheetFormatPr baseColWidth="10" defaultColWidth="8.83203125" defaultRowHeight="15" x14ac:dyDescent="0.2"/>
  <cols>
    <col min="1" max="1" width="10.6640625" style="1" bestFit="1" customWidth="1"/>
    <col min="2" max="3" width="15" bestFit="1" customWidth="1"/>
    <col min="4" max="4" width="9.6640625" bestFit="1" customWidth="1"/>
    <col min="5" max="5" width="13" bestFit="1" customWidth="1"/>
    <col min="6" max="8" width="9.6640625" bestFit="1" customWidth="1"/>
    <col min="9" max="10" width="15" bestFit="1" customWidth="1"/>
    <col min="11" max="11" width="16" bestFit="1" customWidth="1"/>
  </cols>
  <sheetData>
    <row r="1" spans="1:11" x14ac:dyDescent="0.2">
      <c r="B1">
        <v>1</v>
      </c>
      <c r="C1">
        <f>B1+1</f>
        <v>2</v>
      </c>
      <c r="D1">
        <f t="shared" ref="D1:K1" si="0">C1+1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</row>
    <row r="2" spans="1:11" x14ac:dyDescent="0.2">
      <c r="A2" s="1" t="s">
        <v>0</v>
      </c>
      <c r="B2" s="3" t="s">
        <v>1</v>
      </c>
      <c r="C2" s="2" t="s">
        <v>2</v>
      </c>
      <c r="D2" s="3" t="s">
        <v>3</v>
      </c>
      <c r="E2" s="2" t="s">
        <v>4</v>
      </c>
      <c r="F2" s="3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</row>
    <row r="3" spans="1:11" x14ac:dyDescent="0.2">
      <c r="A3" s="1">
        <v>43181</v>
      </c>
      <c r="B3" s="30">
        <v>2.4209999999999998</v>
      </c>
      <c r="C3" s="30">
        <v>2.593</v>
      </c>
      <c r="D3" s="30">
        <v>2.694</v>
      </c>
      <c r="E3" s="30">
        <v>2.7440000000000002</v>
      </c>
      <c r="F3" s="30">
        <v>2.7709999999999999</v>
      </c>
      <c r="G3" s="30">
        <v>2.79</v>
      </c>
      <c r="H3" s="30">
        <v>2.806</v>
      </c>
      <c r="I3" s="30">
        <v>2.823</v>
      </c>
      <c r="J3" s="30">
        <v>2.84</v>
      </c>
      <c r="K3" s="30">
        <v>2.855</v>
      </c>
    </row>
    <row r="4" spans="1:11" x14ac:dyDescent="0.2">
      <c r="A4" s="1">
        <v>43182</v>
      </c>
      <c r="B4" s="30">
        <v>2.42</v>
      </c>
      <c r="C4" s="30">
        <v>2.6</v>
      </c>
      <c r="D4" s="30">
        <v>2.6970000000000001</v>
      </c>
      <c r="E4" s="30">
        <v>2.746</v>
      </c>
      <c r="F4" s="30">
        <v>2.774</v>
      </c>
      <c r="G4" s="30">
        <v>2.7970000000000002</v>
      </c>
      <c r="H4" s="30">
        <v>2.8170000000000002</v>
      </c>
      <c r="I4" s="30">
        <v>2.8370000000000002</v>
      </c>
      <c r="J4" s="30">
        <v>2.8559999999999999</v>
      </c>
      <c r="K4" s="30">
        <v>2.8740000000000001</v>
      </c>
    </row>
    <row r="5" spans="1:11" x14ac:dyDescent="0.2">
      <c r="A5" s="1">
        <v>43185</v>
      </c>
      <c r="B5" s="30">
        <v>2.4279999999999999</v>
      </c>
      <c r="C5" s="30">
        <v>2.6080000000000001</v>
      </c>
      <c r="D5" s="30">
        <v>2.7</v>
      </c>
      <c r="E5" s="30">
        <v>2.7450000000000001</v>
      </c>
      <c r="F5" s="30">
        <v>2.77</v>
      </c>
      <c r="G5" s="30">
        <v>2.79</v>
      </c>
      <c r="H5" s="30">
        <v>2.8079999999999998</v>
      </c>
      <c r="I5" s="30">
        <v>2.8260000000000001</v>
      </c>
      <c r="J5" s="30">
        <v>2.843</v>
      </c>
      <c r="K5" s="30">
        <v>2.859</v>
      </c>
    </row>
    <row r="6" spans="1:11" x14ac:dyDescent="0.2">
      <c r="A6" s="1">
        <v>43186</v>
      </c>
      <c r="B6" s="30">
        <v>2.391</v>
      </c>
      <c r="C6" s="30">
        <v>2.5840000000000001</v>
      </c>
      <c r="D6" s="30">
        <v>2.6760000000000002</v>
      </c>
      <c r="E6" s="30">
        <v>2.7250000000000001</v>
      </c>
      <c r="F6" s="30">
        <v>2.754</v>
      </c>
      <c r="G6" s="30">
        <v>2.7759999999999998</v>
      </c>
      <c r="H6" s="30">
        <v>2.7959999999999998</v>
      </c>
      <c r="I6" s="30">
        <v>2.8140000000000001</v>
      </c>
      <c r="J6" s="30">
        <v>2.8330000000000002</v>
      </c>
      <c r="K6" s="30">
        <v>2.851</v>
      </c>
    </row>
    <row r="7" spans="1:11" x14ac:dyDescent="0.2">
      <c r="A7" s="1">
        <v>43188</v>
      </c>
      <c r="B7" s="30">
        <v>2.4239999999999999</v>
      </c>
      <c r="C7" s="30">
        <v>2.581</v>
      </c>
      <c r="D7" s="30">
        <v>2.6589999999999998</v>
      </c>
      <c r="E7" s="30">
        <v>2.6949999999999998</v>
      </c>
      <c r="F7" s="30">
        <v>2.714</v>
      </c>
      <c r="G7" s="30">
        <v>2.7290000000000001</v>
      </c>
      <c r="H7" s="30">
        <v>2.7429999999999999</v>
      </c>
      <c r="I7" s="30">
        <v>2.7589999999999999</v>
      </c>
      <c r="J7" s="30">
        <v>2.774</v>
      </c>
      <c r="K7" s="30">
        <v>2.7890000000000001</v>
      </c>
    </row>
    <row r="8" spans="1:11" x14ac:dyDescent="0.2">
      <c r="A8" s="1">
        <v>43192</v>
      </c>
      <c r="B8" s="30">
        <v>2.407</v>
      </c>
      <c r="C8" s="30">
        <v>2.5790000000000002</v>
      </c>
      <c r="D8" s="30">
        <v>2.661</v>
      </c>
      <c r="E8" s="30">
        <v>2.7010000000000001</v>
      </c>
      <c r="F8" s="30">
        <v>2.7229999999999999</v>
      </c>
      <c r="G8" s="30">
        <v>2.7389999999999999</v>
      </c>
      <c r="H8" s="30">
        <v>2.7549999999999999</v>
      </c>
      <c r="I8" s="30">
        <v>2.7709999999999999</v>
      </c>
      <c r="J8" s="30">
        <v>2.7869999999999999</v>
      </c>
      <c r="K8" s="30">
        <v>2.8039999999999998</v>
      </c>
    </row>
    <row r="9" spans="1:11" x14ac:dyDescent="0.2">
      <c r="A9" s="1">
        <v>43193</v>
      </c>
      <c r="B9" s="30">
        <v>2.4329999999999998</v>
      </c>
      <c r="C9" s="30">
        <v>2.593</v>
      </c>
      <c r="D9" s="30">
        <v>2.6739999999999999</v>
      </c>
      <c r="E9" s="30">
        <v>2.7130000000000001</v>
      </c>
      <c r="F9" s="30">
        <v>2.7330000000000001</v>
      </c>
      <c r="G9" s="30">
        <v>2.7490000000000001</v>
      </c>
      <c r="H9" s="30">
        <v>2.7629999999999999</v>
      </c>
      <c r="I9" s="30">
        <v>2.778</v>
      </c>
      <c r="J9" s="30">
        <v>2.794</v>
      </c>
      <c r="K9" s="30">
        <v>2.8090000000000002</v>
      </c>
    </row>
    <row r="10" spans="1:11" x14ac:dyDescent="0.2">
      <c r="A10" s="1">
        <v>43194</v>
      </c>
      <c r="B10" s="30">
        <v>2.4390000000000001</v>
      </c>
      <c r="C10" s="30">
        <v>2.5979999999999999</v>
      </c>
      <c r="D10" s="30">
        <v>2.68</v>
      </c>
      <c r="E10" s="30">
        <v>2.718</v>
      </c>
      <c r="F10" s="30">
        <v>2.7389999999999999</v>
      </c>
      <c r="G10" s="30">
        <v>2.7530000000000001</v>
      </c>
      <c r="H10" s="30">
        <v>2.7669999999999999</v>
      </c>
      <c r="I10" s="30">
        <v>2.7810000000000001</v>
      </c>
      <c r="J10" s="30">
        <v>2.7959999999999998</v>
      </c>
      <c r="K10" s="30">
        <v>2.8109999999999999</v>
      </c>
    </row>
    <row r="11" spans="1:11" x14ac:dyDescent="0.2">
      <c r="A11" s="1">
        <v>43195</v>
      </c>
      <c r="B11" s="31">
        <v>2.452</v>
      </c>
      <c r="C11" s="31">
        <v>2.62</v>
      </c>
      <c r="D11" s="31">
        <v>2.7080000000000002</v>
      </c>
      <c r="E11" s="31">
        <v>2.7530000000000001</v>
      </c>
      <c r="F11" s="31">
        <v>2.7789999999999999</v>
      </c>
      <c r="G11" s="31">
        <v>2.7959999999999998</v>
      </c>
      <c r="H11" s="31">
        <v>2.8119999999999998</v>
      </c>
      <c r="I11" s="31">
        <v>2.827</v>
      </c>
      <c r="J11" s="31">
        <v>2.843</v>
      </c>
      <c r="K11" s="31">
        <v>2.86</v>
      </c>
    </row>
    <row r="12" spans="1:11" x14ac:dyDescent="0.2">
      <c r="A12" s="1">
        <v>43196</v>
      </c>
      <c r="B12" s="31">
        <v>2.4380000000000002</v>
      </c>
      <c r="C12" s="31">
        <v>2.5950000000000002</v>
      </c>
      <c r="D12" s="31">
        <v>2.6720000000000002</v>
      </c>
      <c r="E12" s="31">
        <v>2.7109999999999999</v>
      </c>
      <c r="F12" s="31">
        <v>2.7330000000000001</v>
      </c>
      <c r="G12" s="31">
        <v>2.75</v>
      </c>
      <c r="H12" s="31">
        <v>2.7650000000000001</v>
      </c>
      <c r="I12" s="31">
        <v>2.78</v>
      </c>
      <c r="J12" s="31">
        <v>2.7970000000000002</v>
      </c>
      <c r="K12" s="31">
        <v>2.8130000000000002</v>
      </c>
    </row>
    <row r="13" spans="1:11" x14ac:dyDescent="0.2">
      <c r="A13" s="1">
        <v>43199</v>
      </c>
      <c r="B13" s="31">
        <v>2.4380000000000002</v>
      </c>
      <c r="C13" s="31">
        <v>2.5979999999999999</v>
      </c>
      <c r="D13" s="31">
        <v>2.681</v>
      </c>
      <c r="E13" s="31">
        <v>2.7240000000000002</v>
      </c>
      <c r="F13" s="31">
        <v>2.75</v>
      </c>
      <c r="G13" s="31">
        <v>2.7679999999999998</v>
      </c>
      <c r="H13" s="31">
        <v>2.7839999999999998</v>
      </c>
      <c r="I13" s="31">
        <v>2.8</v>
      </c>
      <c r="J13" s="31">
        <v>2.8159999999999998</v>
      </c>
      <c r="K13" s="31">
        <v>2.8319999999999999</v>
      </c>
    </row>
    <row r="14" spans="1:11" x14ac:dyDescent="0.2">
      <c r="A14" s="1">
        <v>43200</v>
      </c>
      <c r="B14" s="31">
        <v>2.4500000000000002</v>
      </c>
      <c r="C14" s="31">
        <v>2.6110000000000002</v>
      </c>
      <c r="D14" s="31">
        <v>2.6909999999999998</v>
      </c>
      <c r="E14" s="31">
        <v>2.73</v>
      </c>
      <c r="F14" s="31">
        <v>2.7509999999999999</v>
      </c>
      <c r="G14" s="31">
        <v>2.766</v>
      </c>
      <c r="H14" s="31">
        <v>2.78</v>
      </c>
      <c r="I14" s="31">
        <v>2.794</v>
      </c>
      <c r="J14" s="31">
        <v>2.8090000000000002</v>
      </c>
      <c r="K14" s="31">
        <v>2.8239999999999998</v>
      </c>
    </row>
    <row r="15" spans="1:11" x14ac:dyDescent="0.2">
      <c r="A15" s="1">
        <v>43202</v>
      </c>
      <c r="B15" s="31">
        <v>2.4950000000000001</v>
      </c>
      <c r="C15" s="31">
        <v>2.6509999999999998</v>
      </c>
      <c r="D15" s="31">
        <v>2.7280000000000002</v>
      </c>
      <c r="E15" s="31">
        <v>2.7669999999999999</v>
      </c>
      <c r="F15" s="31">
        <v>2.7879999999999998</v>
      </c>
      <c r="G15" s="31">
        <v>2.802</v>
      </c>
      <c r="H15" s="31">
        <v>2.8140000000000001</v>
      </c>
      <c r="I15" s="31">
        <v>2.8260000000000001</v>
      </c>
      <c r="J15" s="31">
        <v>2.839</v>
      </c>
      <c r="K15" s="31">
        <v>2.8530000000000002</v>
      </c>
    </row>
    <row r="16" spans="1:11" x14ac:dyDescent="0.2">
      <c r="A16" s="1">
        <v>43203</v>
      </c>
      <c r="B16" s="31">
        <v>2.5089999999999999</v>
      </c>
      <c r="C16" s="31">
        <v>2.6720000000000002</v>
      </c>
      <c r="D16" s="31">
        <v>2.7490000000000001</v>
      </c>
      <c r="E16" s="31">
        <v>2.786</v>
      </c>
      <c r="F16" s="31">
        <v>2.8039999999999998</v>
      </c>
      <c r="G16" s="31">
        <v>2.8159999999999998</v>
      </c>
      <c r="H16" s="31">
        <v>2.827</v>
      </c>
      <c r="I16" s="31">
        <v>2.839</v>
      </c>
      <c r="J16" s="31">
        <v>2.851</v>
      </c>
      <c r="K16" s="31">
        <v>2.8639999999999999</v>
      </c>
    </row>
    <row r="17" spans="1:11" x14ac:dyDescent="0.2">
      <c r="A17" s="1">
        <v>43206</v>
      </c>
      <c r="B17" s="31">
        <v>2.5089999999999999</v>
      </c>
      <c r="C17" s="31">
        <v>2.6909999999999998</v>
      </c>
      <c r="D17" s="31">
        <v>2.77</v>
      </c>
      <c r="E17" s="31">
        <v>2.8039999999999998</v>
      </c>
      <c r="F17" s="31">
        <v>2.819</v>
      </c>
      <c r="G17" s="31">
        <v>2.83</v>
      </c>
      <c r="H17" s="31">
        <v>2.839</v>
      </c>
      <c r="I17" s="31">
        <v>2.85</v>
      </c>
      <c r="J17" s="31">
        <v>2.8620000000000001</v>
      </c>
      <c r="K17" s="31">
        <v>2.8740000000000001</v>
      </c>
    </row>
    <row r="18" spans="1:11" x14ac:dyDescent="0.2">
      <c r="A18" s="1">
        <v>43207</v>
      </c>
      <c r="B18" s="31">
        <v>2.5099999999999998</v>
      </c>
      <c r="C18" s="31">
        <v>2.6890000000000001</v>
      </c>
      <c r="D18" s="31">
        <v>2.77</v>
      </c>
      <c r="E18" s="31">
        <v>2.802</v>
      </c>
      <c r="F18" s="31">
        <v>2.8149999999999999</v>
      </c>
      <c r="G18" s="31">
        <v>2.8250000000000002</v>
      </c>
      <c r="H18" s="31">
        <v>2.8340000000000001</v>
      </c>
      <c r="I18" s="31">
        <v>2.843</v>
      </c>
      <c r="J18" s="31">
        <v>2.8540000000000001</v>
      </c>
      <c r="K18" s="31">
        <v>2.8650000000000002</v>
      </c>
    </row>
    <row r="19" spans="1:11" x14ac:dyDescent="0.2">
      <c r="A19" s="1">
        <v>43208</v>
      </c>
      <c r="B19" s="31">
        <v>2.5310000000000001</v>
      </c>
      <c r="C19" s="31">
        <v>2.706</v>
      </c>
      <c r="D19" s="31">
        <v>2.7839999999999998</v>
      </c>
      <c r="E19" s="31">
        <v>2.8149999999999999</v>
      </c>
      <c r="F19" s="31">
        <v>2.8290000000000002</v>
      </c>
      <c r="G19" s="31">
        <v>2.8359999999999999</v>
      </c>
      <c r="H19" s="31">
        <v>2.843</v>
      </c>
      <c r="I19" s="31">
        <v>2.851</v>
      </c>
      <c r="J19" s="31">
        <v>2.86</v>
      </c>
      <c r="K19" s="31">
        <v>2.8690000000000002</v>
      </c>
    </row>
    <row r="20" spans="1:11" x14ac:dyDescent="0.2">
      <c r="A20" s="1">
        <v>43209</v>
      </c>
      <c r="B20" s="31">
        <v>2.5329999999999999</v>
      </c>
      <c r="C20" s="31">
        <v>2.7189999999999999</v>
      </c>
      <c r="D20" s="31">
        <v>2.8069999999999999</v>
      </c>
      <c r="E20" s="31">
        <v>2.8490000000000002</v>
      </c>
      <c r="F20" s="31">
        <v>2.87</v>
      </c>
      <c r="G20" s="31">
        <v>2.8839999999999999</v>
      </c>
      <c r="H20" s="31">
        <v>2.8959999999999999</v>
      </c>
      <c r="I20" s="31">
        <v>2.9079999999999999</v>
      </c>
      <c r="J20" s="31">
        <v>2.92</v>
      </c>
      <c r="K20" s="31">
        <v>2.9319999999999999</v>
      </c>
    </row>
    <row r="21" spans="1:11" x14ac:dyDescent="0.2">
      <c r="A21" s="1">
        <v>43210</v>
      </c>
      <c r="B21" s="31">
        <v>2.5430000000000001</v>
      </c>
      <c r="C21" s="31">
        <v>2.734</v>
      </c>
      <c r="D21" s="31">
        <v>2.8290000000000002</v>
      </c>
      <c r="E21" s="31">
        <v>2.8740000000000001</v>
      </c>
      <c r="F21" s="31">
        <v>2.899</v>
      </c>
      <c r="G21" s="31">
        <v>2.9169999999999998</v>
      </c>
      <c r="H21" s="31">
        <v>2.931</v>
      </c>
      <c r="I21" s="31">
        <v>2.9449999999999998</v>
      </c>
      <c r="J21" s="31">
        <v>2.9590000000000001</v>
      </c>
      <c r="K21" s="31">
        <v>2.972</v>
      </c>
    </row>
    <row r="22" spans="1:11" x14ac:dyDescent="0.2">
      <c r="A22" s="1">
        <v>43213</v>
      </c>
      <c r="B22" s="31">
        <v>2.544</v>
      </c>
      <c r="C22" s="31">
        <v>2.7469999999999999</v>
      </c>
      <c r="D22" s="31">
        <v>2.8479999999999999</v>
      </c>
      <c r="E22" s="31">
        <v>2.899</v>
      </c>
      <c r="F22" s="31">
        <v>2.9279999999999999</v>
      </c>
      <c r="G22" s="31">
        <v>2.948</v>
      </c>
      <c r="H22" s="31">
        <v>2.9630000000000001</v>
      </c>
      <c r="I22" s="31">
        <v>2.9769999999999999</v>
      </c>
      <c r="J22" s="31">
        <v>2.992</v>
      </c>
      <c r="K22" s="31">
        <v>3.0059999999999998</v>
      </c>
    </row>
    <row r="23" spans="1:11" x14ac:dyDescent="0.2">
      <c r="A23" s="1">
        <v>43215</v>
      </c>
      <c r="B23" s="31">
        <v>2.56</v>
      </c>
      <c r="C23" s="31">
        <v>2.7589999999999999</v>
      </c>
      <c r="D23" s="31">
        <v>2.8610000000000002</v>
      </c>
      <c r="E23" s="31">
        <v>2.9159999999999999</v>
      </c>
      <c r="F23" s="31">
        <v>2.9510000000000001</v>
      </c>
      <c r="G23" s="31">
        <v>2.976</v>
      </c>
      <c r="H23" s="31">
        <v>2.996</v>
      </c>
      <c r="I23" s="31">
        <v>3.0129999999999999</v>
      </c>
      <c r="J23" s="31">
        <v>3.03</v>
      </c>
      <c r="K23" s="31">
        <v>3.0449999999999999</v>
      </c>
    </row>
    <row r="24" spans="1:11" x14ac:dyDescent="0.2">
      <c r="A24" s="1">
        <v>43216</v>
      </c>
      <c r="B24" s="31">
        <v>2.5470000000000002</v>
      </c>
      <c r="C24" s="31">
        <v>2.7490000000000001</v>
      </c>
      <c r="D24" s="31">
        <v>2.851</v>
      </c>
      <c r="E24" s="31">
        <v>2.903</v>
      </c>
      <c r="F24" s="31">
        <v>2.9350000000000001</v>
      </c>
      <c r="G24" s="31">
        <v>2.9590000000000001</v>
      </c>
      <c r="H24" s="31">
        <v>2.9790000000000001</v>
      </c>
      <c r="I24" s="31">
        <v>2.996</v>
      </c>
      <c r="J24" s="31">
        <v>3.012</v>
      </c>
      <c r="K24" s="31">
        <v>3.028</v>
      </c>
    </row>
    <row r="25" spans="1:11" x14ac:dyDescent="0.2">
      <c r="A25" s="1">
        <v>43217</v>
      </c>
      <c r="B25" s="31">
        <v>2.5379999999999998</v>
      </c>
      <c r="C25" s="31">
        <v>2.7290000000000001</v>
      </c>
      <c r="D25" s="31">
        <v>2.8279999999999998</v>
      </c>
      <c r="E25" s="31">
        <v>2.8759999999999999</v>
      </c>
      <c r="F25" s="31">
        <v>2.9049999999999998</v>
      </c>
      <c r="G25" s="31">
        <v>2.9260000000000002</v>
      </c>
      <c r="H25" s="31">
        <v>2.9430000000000001</v>
      </c>
      <c r="I25" s="31">
        <v>2.9580000000000002</v>
      </c>
      <c r="J25" s="31">
        <v>2.9729999999999999</v>
      </c>
      <c r="K25" s="31">
        <v>2.9860000000000002</v>
      </c>
    </row>
    <row r="26" spans="1:11" x14ac:dyDescent="0.2">
      <c r="A26" s="1">
        <v>43220</v>
      </c>
      <c r="B26" s="23">
        <v>2.5499999999999998</v>
      </c>
      <c r="C26" s="23">
        <v>2.75</v>
      </c>
      <c r="D26" s="23">
        <v>2.8439999999999999</v>
      </c>
      <c r="E26" s="23">
        <v>2.8889999999999998</v>
      </c>
      <c r="F26" s="23">
        <v>2.9140000000000001</v>
      </c>
      <c r="G26" s="23">
        <v>2.931</v>
      </c>
      <c r="H26" s="23">
        <v>2.9449999999999998</v>
      </c>
      <c r="I26" s="23">
        <v>2.9569999999999999</v>
      </c>
      <c r="J26" s="23">
        <v>2.97</v>
      </c>
      <c r="K26" s="23">
        <v>2.9820000000000002</v>
      </c>
    </row>
    <row r="27" spans="1:11" x14ac:dyDescent="0.2">
      <c r="A27" s="1">
        <v>43221</v>
      </c>
      <c r="B27" s="23">
        <v>2.5529999999999999</v>
      </c>
      <c r="C27" s="23">
        <v>2.7589999999999999</v>
      </c>
      <c r="D27" s="23">
        <v>2.855</v>
      </c>
      <c r="E27" s="23">
        <v>2.903</v>
      </c>
      <c r="F27" s="23">
        <v>2.9289999999999998</v>
      </c>
      <c r="G27" s="23">
        <v>2.948</v>
      </c>
      <c r="H27" s="23">
        <v>2.9630000000000001</v>
      </c>
      <c r="I27" s="23">
        <v>2.976</v>
      </c>
      <c r="J27" s="23">
        <v>2.99</v>
      </c>
      <c r="K27" s="23">
        <v>3.0019999999999998</v>
      </c>
    </row>
    <row r="28" spans="1:11" x14ac:dyDescent="0.2">
      <c r="A28" s="1">
        <v>43222</v>
      </c>
      <c r="B28" s="23">
        <v>2.5630000000000002</v>
      </c>
      <c r="C28" s="23">
        <v>2.7730000000000001</v>
      </c>
      <c r="D28" s="23">
        <v>2.8679999999999999</v>
      </c>
      <c r="E28" s="23">
        <v>2.9119999999999999</v>
      </c>
      <c r="F28" s="23">
        <v>2.9340000000000002</v>
      </c>
      <c r="G28" s="23">
        <v>2.9489999999999998</v>
      </c>
      <c r="H28" s="23">
        <v>2.9609999999999999</v>
      </c>
      <c r="I28" s="23">
        <v>2.9740000000000002</v>
      </c>
      <c r="J28" s="23">
        <v>2.9849999999999999</v>
      </c>
      <c r="K28" s="23">
        <v>2.996</v>
      </c>
    </row>
    <row r="29" spans="1:11" x14ac:dyDescent="0.2">
      <c r="A29" s="1">
        <v>43223</v>
      </c>
      <c r="B29" s="23">
        <v>2.556</v>
      </c>
      <c r="C29" s="23">
        <v>2.74</v>
      </c>
      <c r="D29" s="23">
        <v>2.83</v>
      </c>
      <c r="E29" s="23">
        <v>2.871</v>
      </c>
      <c r="F29" s="23">
        <v>2.8929999999999998</v>
      </c>
      <c r="G29" s="23">
        <v>2.91</v>
      </c>
      <c r="H29" s="23">
        <v>2.9239999999999999</v>
      </c>
      <c r="I29" s="23">
        <v>2.9380000000000002</v>
      </c>
      <c r="J29" s="23">
        <v>2.9510000000000001</v>
      </c>
      <c r="K29" s="23">
        <v>2.964</v>
      </c>
    </row>
    <row r="30" spans="1:11" x14ac:dyDescent="0.2">
      <c r="A30" s="1">
        <v>43224</v>
      </c>
      <c r="B30" s="23">
        <v>2.5710000000000002</v>
      </c>
      <c r="C30" s="23">
        <v>2.7559999999999998</v>
      </c>
      <c r="D30" s="23">
        <v>2.8420000000000001</v>
      </c>
      <c r="E30" s="23">
        <v>2.8839999999999999</v>
      </c>
      <c r="F30" s="23">
        <v>2.9060000000000001</v>
      </c>
      <c r="G30" s="23">
        <v>2.923</v>
      </c>
      <c r="H30" s="23">
        <v>2.9369999999999998</v>
      </c>
      <c r="I30" s="23">
        <v>2.9510000000000001</v>
      </c>
      <c r="J30" s="23">
        <v>2.964</v>
      </c>
      <c r="K30" s="23">
        <v>2.9769999999999999</v>
      </c>
    </row>
    <row r="31" spans="1:11" x14ac:dyDescent="0.2">
      <c r="A31" s="1">
        <v>43227</v>
      </c>
      <c r="B31" s="23">
        <v>2.573</v>
      </c>
      <c r="C31" s="23">
        <v>2.7679999999999998</v>
      </c>
      <c r="D31" s="23">
        <v>2.8559999999999999</v>
      </c>
      <c r="E31" s="23">
        <v>2.8980000000000001</v>
      </c>
      <c r="F31" s="23">
        <v>2.9180000000000001</v>
      </c>
      <c r="G31" s="23">
        <v>2.9359999999999999</v>
      </c>
      <c r="H31" s="23">
        <v>2.9489999999999998</v>
      </c>
      <c r="I31" s="23">
        <v>2.9630000000000001</v>
      </c>
      <c r="J31" s="23">
        <v>2.976</v>
      </c>
      <c r="K31" s="23">
        <v>2.988</v>
      </c>
    </row>
    <row r="32" spans="1:11" x14ac:dyDescent="0.2">
      <c r="A32" s="1">
        <v>43228</v>
      </c>
      <c r="B32" s="23">
        <v>2.5680000000000001</v>
      </c>
      <c r="C32" s="23">
        <v>2.7730000000000001</v>
      </c>
      <c r="D32" s="23">
        <v>2.8679999999999999</v>
      </c>
      <c r="E32" s="23">
        <v>2.9140000000000001</v>
      </c>
      <c r="F32" s="23">
        <v>2.9380000000000002</v>
      </c>
      <c r="G32" s="23">
        <v>2.956</v>
      </c>
      <c r="H32" s="23">
        <v>2.972</v>
      </c>
      <c r="I32" s="23">
        <v>2.9860000000000002</v>
      </c>
      <c r="J32" s="23">
        <v>3.0009999999999999</v>
      </c>
      <c r="K32" s="23">
        <v>3.0139999999999998</v>
      </c>
    </row>
    <row r="33" spans="1:11" x14ac:dyDescent="0.2">
      <c r="A33" s="1">
        <v>43229</v>
      </c>
      <c r="B33" s="23">
        <v>2.573</v>
      </c>
      <c r="C33" s="23">
        <v>2.7770000000000001</v>
      </c>
      <c r="D33" s="23">
        <v>2.8759999999999999</v>
      </c>
      <c r="E33" s="23">
        <v>2.9209999999999998</v>
      </c>
      <c r="F33" s="23">
        <v>2.9470000000000001</v>
      </c>
      <c r="G33" s="23">
        <v>2.9649999999999999</v>
      </c>
      <c r="H33" s="23">
        <v>2.98</v>
      </c>
      <c r="I33" s="23">
        <v>2.9950000000000001</v>
      </c>
      <c r="J33" s="23">
        <v>3.0089999999999999</v>
      </c>
      <c r="K33" s="23">
        <v>3.024</v>
      </c>
    </row>
    <row r="34" spans="1:11" x14ac:dyDescent="0.2">
      <c r="A34" s="1">
        <v>43230</v>
      </c>
      <c r="B34" s="23">
        <v>2.569</v>
      </c>
      <c r="C34" s="23">
        <v>2.7719999999999998</v>
      </c>
      <c r="D34" s="23">
        <v>2.8679999999999999</v>
      </c>
      <c r="E34" s="23">
        <v>2.9129999999999998</v>
      </c>
      <c r="F34" s="23">
        <v>2.9369999999999998</v>
      </c>
      <c r="G34" s="23">
        <v>2.9540000000000002</v>
      </c>
      <c r="H34" s="23">
        <v>2.9689999999999999</v>
      </c>
      <c r="I34" s="23">
        <v>2.9830000000000001</v>
      </c>
      <c r="J34" s="23">
        <v>2.9969999999999999</v>
      </c>
      <c r="K34" s="23">
        <v>3.0110000000000001</v>
      </c>
    </row>
    <row r="35" spans="1:11" x14ac:dyDescent="0.2">
      <c r="A35" s="1">
        <v>43231</v>
      </c>
      <c r="B35" s="23">
        <v>2.5430000000000001</v>
      </c>
      <c r="C35" s="23">
        <v>2.7650000000000001</v>
      </c>
      <c r="D35" s="23">
        <v>2.8650000000000002</v>
      </c>
      <c r="E35" s="23">
        <v>2.911</v>
      </c>
      <c r="F35" s="23">
        <v>2.9369999999999998</v>
      </c>
      <c r="G35" s="23">
        <v>2.9550000000000001</v>
      </c>
      <c r="H35" s="23">
        <v>2.97</v>
      </c>
      <c r="I35" s="23">
        <v>2.9849999999999999</v>
      </c>
      <c r="J35" s="23">
        <v>2.9990000000000001</v>
      </c>
      <c r="K35" s="23">
        <v>3.0139999999999998</v>
      </c>
    </row>
    <row r="36" spans="1:11" x14ac:dyDescent="0.2">
      <c r="A36" s="1">
        <v>43234</v>
      </c>
      <c r="B36" s="23">
        <v>2.5350000000000001</v>
      </c>
      <c r="C36" s="23">
        <v>2.7480000000000002</v>
      </c>
      <c r="D36" s="23">
        <v>2.851</v>
      </c>
      <c r="E36" s="23">
        <v>2.9009999999999998</v>
      </c>
      <c r="F36" s="23">
        <v>2.931</v>
      </c>
      <c r="G36" s="23">
        <v>2.9510000000000001</v>
      </c>
      <c r="H36" s="23">
        <v>2.968</v>
      </c>
      <c r="I36" s="23">
        <v>2.9849999999999999</v>
      </c>
      <c r="J36" s="23">
        <v>3.0009999999999999</v>
      </c>
      <c r="K36" s="23">
        <v>3.016</v>
      </c>
    </row>
    <row r="37" spans="1:11" x14ac:dyDescent="0.2">
      <c r="A37" s="1">
        <v>43235</v>
      </c>
      <c r="B37" s="23">
        <v>2.552</v>
      </c>
      <c r="C37" s="23">
        <v>2.782</v>
      </c>
      <c r="D37" s="23">
        <v>2.8919999999999999</v>
      </c>
      <c r="E37" s="23">
        <v>2.9470000000000001</v>
      </c>
      <c r="F37" s="23">
        <v>2.9809999999999999</v>
      </c>
      <c r="G37" s="23">
        <v>3.008</v>
      </c>
      <c r="H37" s="23">
        <v>3.0289999999999999</v>
      </c>
      <c r="I37" s="23">
        <v>3.0489999999999999</v>
      </c>
      <c r="J37" s="23">
        <v>3.0680000000000001</v>
      </c>
      <c r="K37" s="23">
        <v>3.085</v>
      </c>
    </row>
    <row r="38" spans="1:11" x14ac:dyDescent="0.2">
      <c r="A38" s="1">
        <v>43236</v>
      </c>
      <c r="B38" s="23">
        <v>2.5680000000000001</v>
      </c>
      <c r="C38" s="23">
        <v>2.81</v>
      </c>
      <c r="D38" s="23">
        <v>2.9239999999999999</v>
      </c>
      <c r="E38" s="23">
        <v>2.9830000000000001</v>
      </c>
      <c r="F38" s="23">
        <v>3.02</v>
      </c>
      <c r="G38" s="23">
        <v>3.0459999999999998</v>
      </c>
      <c r="H38" s="23">
        <v>3.0670000000000002</v>
      </c>
      <c r="I38" s="23">
        <v>3.0859999999999999</v>
      </c>
      <c r="J38" s="23">
        <v>3.1040000000000001</v>
      </c>
      <c r="K38" s="23">
        <v>3.12</v>
      </c>
    </row>
    <row r="39" spans="1:11" x14ac:dyDescent="0.2">
      <c r="A39" s="1">
        <v>43237</v>
      </c>
      <c r="B39" s="23">
        <v>2.57</v>
      </c>
      <c r="C39" s="23">
        <v>2.819</v>
      </c>
      <c r="D39" s="23">
        <v>2.9369999999999998</v>
      </c>
      <c r="E39" s="23">
        <v>2.9969999999999999</v>
      </c>
      <c r="F39" s="23">
        <v>3.0339999999999998</v>
      </c>
      <c r="G39" s="23">
        <v>3.0609999999999999</v>
      </c>
      <c r="H39" s="23">
        <v>3.0830000000000002</v>
      </c>
      <c r="I39" s="23">
        <v>3.1019999999999999</v>
      </c>
      <c r="J39" s="23">
        <v>3.12</v>
      </c>
      <c r="K39" s="23">
        <v>3.137</v>
      </c>
    </row>
    <row r="40" spans="1:11" x14ac:dyDescent="0.2">
      <c r="A40" s="1">
        <v>43238</v>
      </c>
      <c r="B40" s="23">
        <v>2.56</v>
      </c>
      <c r="C40" s="23">
        <v>2.782</v>
      </c>
      <c r="D40" s="23">
        <v>2.8929999999999998</v>
      </c>
      <c r="E40" s="23">
        <v>2.952</v>
      </c>
      <c r="F40" s="23">
        <v>2.9889999999999999</v>
      </c>
      <c r="G40" s="23">
        <v>3.0179999999999998</v>
      </c>
      <c r="H40" s="23">
        <v>3.0419999999999998</v>
      </c>
      <c r="I40" s="23">
        <v>3.0630000000000002</v>
      </c>
      <c r="J40" s="23">
        <v>3.0840000000000001</v>
      </c>
      <c r="K40" s="23">
        <v>3.1019999999999999</v>
      </c>
    </row>
    <row r="41" spans="1:11" x14ac:dyDescent="0.2">
      <c r="A41" s="1">
        <v>43241</v>
      </c>
      <c r="B41" s="23">
        <v>2.5710000000000002</v>
      </c>
      <c r="C41" s="23">
        <v>2.806</v>
      </c>
      <c r="D41" s="23">
        <v>2.9140000000000001</v>
      </c>
      <c r="E41" s="23">
        <v>2.97</v>
      </c>
      <c r="F41" s="23">
        <v>3.0030000000000001</v>
      </c>
      <c r="G41" s="23">
        <v>3.0289999999999999</v>
      </c>
      <c r="H41" s="23">
        <v>3.0510000000000002</v>
      </c>
      <c r="I41" s="23">
        <v>3.0710000000000002</v>
      </c>
      <c r="J41" s="23">
        <v>3.089</v>
      </c>
      <c r="K41" s="23">
        <v>3.1059999999999999</v>
      </c>
    </row>
    <row r="42" spans="1:11" x14ac:dyDescent="0.2">
      <c r="A42" s="1">
        <v>43242</v>
      </c>
      <c r="B42" s="23">
        <v>2.573</v>
      </c>
      <c r="C42" s="23">
        <v>2.8039999999999998</v>
      </c>
      <c r="D42" s="23">
        <v>2.9129999999999998</v>
      </c>
      <c r="E42" s="23">
        <v>2.9689999999999999</v>
      </c>
      <c r="F42" s="23">
        <v>3.0009999999999999</v>
      </c>
      <c r="G42" s="23">
        <v>3.0270000000000001</v>
      </c>
      <c r="H42" s="23">
        <v>3.0489999999999999</v>
      </c>
      <c r="I42" s="23">
        <v>3.0680000000000001</v>
      </c>
      <c r="J42" s="23">
        <v>3.0870000000000002</v>
      </c>
      <c r="K42" s="23">
        <v>3.1040000000000001</v>
      </c>
    </row>
    <row r="43" spans="1:11" x14ac:dyDescent="0.2">
      <c r="A43" s="1">
        <v>43244</v>
      </c>
      <c r="B43" s="23">
        <v>2.5329999999999999</v>
      </c>
      <c r="C43" s="23">
        <v>2.722</v>
      </c>
      <c r="D43" s="23">
        <v>2.8180000000000001</v>
      </c>
      <c r="E43" s="23">
        <v>2.867</v>
      </c>
      <c r="F43" s="23">
        <v>2.8940000000000001</v>
      </c>
      <c r="G43" s="23">
        <v>2.915</v>
      </c>
      <c r="H43" s="23">
        <v>2.9340000000000002</v>
      </c>
      <c r="I43" s="23">
        <v>2.952</v>
      </c>
      <c r="J43" s="23">
        <v>2.97</v>
      </c>
      <c r="K43" s="23">
        <v>2.9870000000000001</v>
      </c>
    </row>
    <row r="44" spans="1:11" x14ac:dyDescent="0.2">
      <c r="A44" s="1">
        <v>43245</v>
      </c>
      <c r="B44" s="23">
        <v>2.52</v>
      </c>
      <c r="C44" s="23">
        <v>2.714</v>
      </c>
      <c r="D44" s="23">
        <v>2.8039999999999998</v>
      </c>
      <c r="E44" s="23">
        <v>2.8519999999999999</v>
      </c>
      <c r="F44" s="23">
        <v>2.8759999999999999</v>
      </c>
      <c r="G44" s="23">
        <v>2.8980000000000001</v>
      </c>
      <c r="H44" s="23">
        <v>2.9159999999999999</v>
      </c>
      <c r="I44" s="23">
        <v>2.9350000000000001</v>
      </c>
      <c r="J44" s="23">
        <v>2.9540000000000002</v>
      </c>
      <c r="K44" s="23">
        <v>2.9689999999999999</v>
      </c>
    </row>
    <row r="45" spans="1:11" x14ac:dyDescent="0.2">
      <c r="A45" s="1">
        <v>43250</v>
      </c>
      <c r="B45" s="23">
        <v>2.4849999999999999</v>
      </c>
      <c r="C45" s="23">
        <v>2.6269999999999998</v>
      </c>
      <c r="D45" s="23">
        <v>2.7010000000000001</v>
      </c>
      <c r="E45" s="23">
        <v>2.742</v>
      </c>
      <c r="F45" s="23">
        <v>2.77</v>
      </c>
      <c r="G45" s="23">
        <v>2.794</v>
      </c>
      <c r="H45" s="23">
        <v>2.8149999999999999</v>
      </c>
      <c r="I45" s="23">
        <v>2.8359999999999999</v>
      </c>
      <c r="J45" s="23">
        <v>2.8570000000000002</v>
      </c>
      <c r="K45" s="23">
        <v>2.875</v>
      </c>
    </row>
    <row r="46" spans="1:11" x14ac:dyDescent="0.2">
      <c r="A46" s="1">
        <v>43255</v>
      </c>
      <c r="B46" s="23">
        <v>2.57</v>
      </c>
      <c r="C46" s="23">
        <v>2.7589999999999999</v>
      </c>
      <c r="D46" s="23">
        <v>2.8420000000000001</v>
      </c>
      <c r="E46" s="23">
        <v>2.8809999999999998</v>
      </c>
      <c r="F46" s="23">
        <v>2.903</v>
      </c>
      <c r="G46" s="23">
        <v>2.9180000000000001</v>
      </c>
      <c r="H46" s="23">
        <v>2.9329999999999998</v>
      </c>
      <c r="I46" s="23">
        <v>2.9470000000000001</v>
      </c>
      <c r="J46" s="23">
        <v>2.9620000000000002</v>
      </c>
      <c r="K46" s="23">
        <v>2.976</v>
      </c>
    </row>
    <row r="47" spans="1:11" x14ac:dyDescent="0.2">
      <c r="A47" s="1">
        <v>43256</v>
      </c>
      <c r="B47" s="23">
        <v>2.5640000000000001</v>
      </c>
      <c r="C47" s="23">
        <v>2.7629999999999999</v>
      </c>
      <c r="D47" s="23">
        <v>2.8460000000000001</v>
      </c>
      <c r="E47" s="23">
        <v>2.8839999999999999</v>
      </c>
      <c r="F47" s="23">
        <v>2.9039999999999999</v>
      </c>
      <c r="G47" s="23">
        <v>2.9209999999999998</v>
      </c>
      <c r="H47" s="23">
        <v>2.9350000000000001</v>
      </c>
      <c r="I47" s="23">
        <v>2.9510000000000001</v>
      </c>
      <c r="J47" s="23">
        <v>2.9660000000000002</v>
      </c>
      <c r="K47" s="23">
        <v>2.9809999999999999</v>
      </c>
    </row>
    <row r="48" spans="1:11" x14ac:dyDescent="0.2">
      <c r="A48" s="1">
        <v>43257</v>
      </c>
      <c r="B48" s="23">
        <v>2.5840000000000001</v>
      </c>
      <c r="C48" s="23">
        <v>2.782</v>
      </c>
      <c r="D48" s="23">
        <v>2.87</v>
      </c>
      <c r="E48" s="23">
        <v>2.9140000000000001</v>
      </c>
      <c r="F48" s="23">
        <v>2.9390000000000001</v>
      </c>
      <c r="G48" s="23">
        <v>2.9569999999999999</v>
      </c>
      <c r="H48" s="23">
        <v>2.9740000000000002</v>
      </c>
      <c r="I48" s="23">
        <v>2.99</v>
      </c>
      <c r="J48" s="23">
        <v>3.0059999999999998</v>
      </c>
      <c r="K48" s="23">
        <v>3.0219999999999998</v>
      </c>
    </row>
    <row r="49" spans="1:11" x14ac:dyDescent="0.2">
      <c r="A49" s="1">
        <v>43262</v>
      </c>
      <c r="B49" s="23">
        <v>2.5979999999999999</v>
      </c>
      <c r="C49" s="23">
        <v>2.7970000000000002</v>
      </c>
      <c r="D49" s="23">
        <v>2.8809999999999998</v>
      </c>
      <c r="E49" s="23">
        <v>2.919</v>
      </c>
      <c r="F49" s="23">
        <v>2.9390000000000001</v>
      </c>
      <c r="G49" s="23">
        <v>2.956</v>
      </c>
      <c r="H49" s="23">
        <v>2.9710000000000001</v>
      </c>
      <c r="I49" s="23">
        <v>2.9870000000000001</v>
      </c>
      <c r="J49" s="23">
        <v>3.0030000000000001</v>
      </c>
      <c r="K49" s="23">
        <v>3.0179999999999998</v>
      </c>
    </row>
    <row r="50" spans="1:11" x14ac:dyDescent="0.2">
      <c r="A50" s="1">
        <v>43269</v>
      </c>
      <c r="B50" s="23">
        <v>2.6040000000000001</v>
      </c>
      <c r="C50" s="23">
        <v>2.8170000000000002</v>
      </c>
      <c r="D50" s="23">
        <v>2.895</v>
      </c>
      <c r="E50" s="23">
        <v>2.9239999999999999</v>
      </c>
      <c r="F50" s="23">
        <v>2.9340000000000002</v>
      </c>
      <c r="G50" s="23">
        <v>2.9420000000000002</v>
      </c>
      <c r="H50" s="23">
        <v>2.9489999999999998</v>
      </c>
      <c r="I50" s="23">
        <v>2.9590000000000001</v>
      </c>
      <c r="J50" s="23">
        <v>2.97</v>
      </c>
      <c r="K50" s="23">
        <v>2.98</v>
      </c>
    </row>
    <row r="51" spans="1:11" x14ac:dyDescent="0.2">
      <c r="A51" s="1">
        <v>43270</v>
      </c>
      <c r="B51" s="23">
        <v>2.6019999999999999</v>
      </c>
      <c r="C51" s="23">
        <v>2.802</v>
      </c>
      <c r="D51" s="23">
        <v>2.8730000000000002</v>
      </c>
      <c r="E51" s="23">
        <v>2.9</v>
      </c>
      <c r="F51" s="23">
        <v>2.9079999999999999</v>
      </c>
      <c r="G51" s="23">
        <v>2.9159999999999999</v>
      </c>
      <c r="H51" s="23">
        <v>2.9239999999999999</v>
      </c>
      <c r="I51" s="23">
        <v>2.9350000000000001</v>
      </c>
      <c r="J51" s="23">
        <v>2.9449999999999998</v>
      </c>
      <c r="K51" s="23">
        <v>2.9569999999999999</v>
      </c>
    </row>
    <row r="52" spans="1:11" x14ac:dyDescent="0.2">
      <c r="A52" s="1">
        <v>43271</v>
      </c>
      <c r="B52" s="23">
        <v>2.6139999999999999</v>
      </c>
      <c r="C52" s="23">
        <v>2.8079999999999998</v>
      </c>
      <c r="D52" s="23">
        <v>2.8809999999999998</v>
      </c>
      <c r="E52" s="23">
        <v>2.9079999999999999</v>
      </c>
      <c r="F52" s="23">
        <v>2.9180000000000001</v>
      </c>
      <c r="G52" s="23">
        <v>2.9260000000000002</v>
      </c>
      <c r="H52" s="23">
        <v>2.9340000000000002</v>
      </c>
      <c r="I52" s="23">
        <v>2.944</v>
      </c>
      <c r="J52" s="23">
        <v>2.956</v>
      </c>
      <c r="K52" s="23">
        <v>2.9670000000000001</v>
      </c>
    </row>
    <row r="53" spans="1:11" x14ac:dyDescent="0.2">
      <c r="A53" s="1">
        <v>43272</v>
      </c>
      <c r="B53" s="23">
        <v>2.6080000000000001</v>
      </c>
      <c r="C53" s="23">
        <v>2.8130000000000002</v>
      </c>
      <c r="D53" s="23">
        <v>2.8839999999999999</v>
      </c>
      <c r="E53" s="23">
        <v>2.91</v>
      </c>
      <c r="F53" s="23">
        <v>2.92</v>
      </c>
      <c r="G53" s="23">
        <v>2.927</v>
      </c>
      <c r="H53" s="23">
        <v>2.9359999999999999</v>
      </c>
      <c r="I53" s="23">
        <v>2.9470000000000001</v>
      </c>
      <c r="J53" s="23">
        <v>2.9580000000000002</v>
      </c>
      <c r="K53" s="23">
        <v>2.97</v>
      </c>
    </row>
    <row r="54" spans="1:11" x14ac:dyDescent="0.2">
      <c r="A54" s="1">
        <v>43273</v>
      </c>
      <c r="B54" s="23">
        <v>2.613</v>
      </c>
      <c r="C54" s="23">
        <v>2.806</v>
      </c>
      <c r="D54" s="23">
        <v>2.875</v>
      </c>
      <c r="E54" s="23">
        <v>2.903</v>
      </c>
      <c r="F54" s="23">
        <v>2.9140000000000001</v>
      </c>
      <c r="G54" s="23">
        <v>2.9220000000000002</v>
      </c>
      <c r="H54" s="23">
        <v>2.9319999999999999</v>
      </c>
      <c r="I54" s="23">
        <v>2.9430000000000001</v>
      </c>
      <c r="J54" s="23">
        <v>2.9550000000000001</v>
      </c>
      <c r="K54" s="23">
        <v>2.968</v>
      </c>
    </row>
    <row r="55" spans="1:11" x14ac:dyDescent="0.2">
      <c r="A55" s="1">
        <v>43276</v>
      </c>
      <c r="B55" s="23">
        <v>2.6</v>
      </c>
      <c r="C55" s="23">
        <v>2.7919999999999998</v>
      </c>
      <c r="D55" s="23">
        <v>2.855</v>
      </c>
      <c r="E55" s="23">
        <v>2.8809999999999998</v>
      </c>
      <c r="F55" s="23">
        <v>2.89</v>
      </c>
      <c r="G55" s="23">
        <v>2.8969999999999998</v>
      </c>
      <c r="H55" s="23">
        <v>2.9049999999999998</v>
      </c>
      <c r="I55" s="23">
        <v>2.9159999999999999</v>
      </c>
      <c r="J55" s="23">
        <v>2.927</v>
      </c>
      <c r="K55" s="23">
        <v>2.9390000000000001</v>
      </c>
    </row>
    <row r="56" spans="1:11" x14ac:dyDescent="0.2">
      <c r="A56" s="1">
        <v>43277</v>
      </c>
      <c r="B56" s="23">
        <v>2.6030000000000002</v>
      </c>
      <c r="C56" s="23">
        <v>2.7909999999999999</v>
      </c>
      <c r="D56" s="23">
        <v>2.8530000000000002</v>
      </c>
      <c r="E56" s="23">
        <v>2.8780000000000001</v>
      </c>
      <c r="F56" s="23">
        <v>2.8879999999999999</v>
      </c>
      <c r="G56" s="23">
        <v>2.8959999999999999</v>
      </c>
      <c r="H56" s="23">
        <v>2.9049999999999998</v>
      </c>
      <c r="I56" s="23">
        <v>2.9159999999999999</v>
      </c>
      <c r="J56" s="23">
        <v>2.9289999999999998</v>
      </c>
      <c r="K56" s="23">
        <v>2.9409999999999998</v>
      </c>
    </row>
    <row r="57" spans="1:11" x14ac:dyDescent="0.2">
      <c r="A57" s="1">
        <v>43279</v>
      </c>
      <c r="B57" s="23">
        <v>2.601</v>
      </c>
      <c r="C57" s="23">
        <v>2.7810000000000001</v>
      </c>
      <c r="D57" s="23">
        <v>2.84</v>
      </c>
      <c r="E57" s="23">
        <v>2.8620000000000001</v>
      </c>
      <c r="F57" s="23">
        <v>2.87</v>
      </c>
      <c r="G57" s="23">
        <v>2.8759999999999999</v>
      </c>
      <c r="H57" s="23">
        <v>2.883</v>
      </c>
      <c r="I57" s="23">
        <v>2.8919999999999999</v>
      </c>
      <c r="J57" s="23">
        <v>2.903</v>
      </c>
      <c r="K57" s="23">
        <v>2.9140000000000001</v>
      </c>
    </row>
    <row r="58" spans="1:11" x14ac:dyDescent="0.2">
      <c r="A58" s="1">
        <v>43280</v>
      </c>
      <c r="B58" s="23">
        <v>2.6040000000000001</v>
      </c>
      <c r="C58" s="23">
        <v>2.7919999999999998</v>
      </c>
      <c r="D58" s="23">
        <v>2.8570000000000002</v>
      </c>
      <c r="E58" s="23">
        <v>2.88</v>
      </c>
      <c r="F58" s="23">
        <v>2.8860000000000001</v>
      </c>
      <c r="G58" s="23">
        <v>2.8889999999999998</v>
      </c>
      <c r="H58" s="23">
        <v>2.8940000000000001</v>
      </c>
      <c r="I58" s="23">
        <v>2.9009999999999998</v>
      </c>
      <c r="J58" s="23">
        <v>2.91</v>
      </c>
      <c r="K58" s="23">
        <v>2.92</v>
      </c>
    </row>
    <row r="59" spans="1:11" x14ac:dyDescent="0.2">
      <c r="A59" s="1">
        <v>43283</v>
      </c>
      <c r="B59" s="23">
        <v>2.617</v>
      </c>
      <c r="C59" s="23">
        <v>2.8</v>
      </c>
      <c r="D59" s="23">
        <v>2.8650000000000002</v>
      </c>
      <c r="E59" s="23">
        <v>2.8860000000000001</v>
      </c>
      <c r="F59" s="23">
        <v>2.8929999999999998</v>
      </c>
      <c r="G59" s="23">
        <v>2.8969999999999998</v>
      </c>
      <c r="H59" s="23">
        <v>2.903</v>
      </c>
      <c r="I59" s="23">
        <v>2.9119999999999999</v>
      </c>
      <c r="J59" s="23">
        <v>2.9220000000000002</v>
      </c>
      <c r="K59" s="23">
        <v>2.9319999999999999</v>
      </c>
    </row>
    <row r="60" spans="1:11" x14ac:dyDescent="0.2">
      <c r="A60" s="1">
        <v>43284</v>
      </c>
      <c r="B60" s="23">
        <v>2.6059999999999999</v>
      </c>
      <c r="C60" s="23">
        <v>2.794</v>
      </c>
      <c r="D60" s="23">
        <v>2.859</v>
      </c>
      <c r="E60" s="23">
        <v>2.8780000000000001</v>
      </c>
      <c r="F60" s="23">
        <v>2.8820000000000001</v>
      </c>
      <c r="G60" s="23">
        <v>2.8849999999999998</v>
      </c>
      <c r="H60" s="31">
        <v>2.89</v>
      </c>
      <c r="I60" s="23">
        <v>2.8969999999999998</v>
      </c>
      <c r="J60" s="23">
        <v>2.907</v>
      </c>
      <c r="K60" s="23">
        <v>2.9169999999999998</v>
      </c>
    </row>
    <row r="61" spans="1:11" x14ac:dyDescent="0.2">
      <c r="A61" s="1">
        <v>43286</v>
      </c>
      <c r="B61" s="23">
        <v>2.6280000000000001</v>
      </c>
      <c r="C61" s="23">
        <v>2.8010000000000002</v>
      </c>
      <c r="D61" s="23">
        <v>2.863</v>
      </c>
      <c r="E61" s="23">
        <v>2.879</v>
      </c>
      <c r="F61" s="23">
        <v>2.88</v>
      </c>
      <c r="G61" s="23">
        <v>2.8809999999999998</v>
      </c>
      <c r="H61" s="23">
        <v>2.8849999999999998</v>
      </c>
      <c r="I61" s="23">
        <v>2.89</v>
      </c>
      <c r="J61" s="23">
        <v>2.8980000000000001</v>
      </c>
      <c r="K61" s="23">
        <v>2.9079999999999999</v>
      </c>
    </row>
    <row r="62" spans="1:11" x14ac:dyDescent="0.2">
      <c r="A62" s="1">
        <v>43287</v>
      </c>
      <c r="B62" s="23">
        <v>2.6150000000000002</v>
      </c>
      <c r="C62" s="23">
        <v>2.8</v>
      </c>
      <c r="D62" s="23">
        <v>2.86</v>
      </c>
      <c r="E62" s="23">
        <v>2.8759999999999999</v>
      </c>
      <c r="F62" s="23">
        <v>2.879</v>
      </c>
      <c r="G62" s="23">
        <v>2.879</v>
      </c>
      <c r="H62" s="23">
        <v>2.8809999999999998</v>
      </c>
      <c r="I62" s="23">
        <v>2.887</v>
      </c>
      <c r="J62" s="23">
        <v>2.8940000000000001</v>
      </c>
      <c r="K62" s="23">
        <v>2.903</v>
      </c>
    </row>
    <row r="63" spans="1:11" x14ac:dyDescent="0.2">
      <c r="A63" s="1">
        <v>43290</v>
      </c>
      <c r="B63" s="23">
        <v>2.6259999999999999</v>
      </c>
      <c r="C63" s="23">
        <v>2.8130000000000002</v>
      </c>
      <c r="D63" s="23">
        <v>2.8740000000000001</v>
      </c>
      <c r="E63" s="23">
        <v>2.891</v>
      </c>
      <c r="F63" s="23">
        <v>2.8959999999999999</v>
      </c>
      <c r="G63" s="23">
        <v>2.899</v>
      </c>
      <c r="H63" s="23">
        <v>2.9039999999999999</v>
      </c>
      <c r="I63" s="23">
        <v>2.9119999999999999</v>
      </c>
      <c r="J63" s="23">
        <v>2.9209999999999998</v>
      </c>
      <c r="K63" s="23">
        <v>2.931</v>
      </c>
    </row>
    <row r="64" spans="1:11" x14ac:dyDescent="0.2">
      <c r="A64" s="1">
        <v>43291</v>
      </c>
      <c r="B64" s="23">
        <v>2.6389999999999998</v>
      </c>
      <c r="C64" s="23">
        <v>2.819</v>
      </c>
      <c r="D64" s="23">
        <v>2.88</v>
      </c>
      <c r="E64" s="23">
        <v>2.899</v>
      </c>
      <c r="F64" s="23">
        <v>2.9039999999999999</v>
      </c>
      <c r="G64" s="23">
        <v>2.9079999999999999</v>
      </c>
      <c r="H64" s="23">
        <v>2.9140000000000001</v>
      </c>
      <c r="I64" s="23">
        <v>2.923</v>
      </c>
      <c r="J64" s="23">
        <v>2.9329999999999998</v>
      </c>
      <c r="K64" s="23">
        <v>2.9430000000000001</v>
      </c>
    </row>
    <row r="65" spans="1:11" x14ac:dyDescent="0.2">
      <c r="A65" s="1">
        <v>43292</v>
      </c>
      <c r="B65" s="23">
        <v>2.629</v>
      </c>
      <c r="C65" s="23">
        <v>2.8250000000000002</v>
      </c>
      <c r="D65" s="23">
        <v>2.883</v>
      </c>
      <c r="E65" s="23">
        <v>2.8980000000000001</v>
      </c>
      <c r="F65" s="23">
        <v>2.9</v>
      </c>
      <c r="G65" s="23">
        <v>2.9020000000000001</v>
      </c>
      <c r="H65" s="23">
        <v>2.9060000000000001</v>
      </c>
      <c r="I65" s="23">
        <v>2.9140000000000001</v>
      </c>
      <c r="J65" s="23">
        <v>2.9220000000000002</v>
      </c>
      <c r="K65" s="23">
        <v>2.931</v>
      </c>
    </row>
    <row r="66" spans="1:11" x14ac:dyDescent="0.2">
      <c r="A66" s="1">
        <v>43293</v>
      </c>
      <c r="B66" s="23">
        <v>2.6429999999999998</v>
      </c>
      <c r="C66" s="23">
        <v>2.823</v>
      </c>
      <c r="D66" s="23">
        <v>2.8759999999999999</v>
      </c>
      <c r="E66" s="23">
        <v>2.8889999999999998</v>
      </c>
      <c r="F66" s="23">
        <v>2.89</v>
      </c>
      <c r="G66" s="23">
        <v>2.8919999999999999</v>
      </c>
      <c r="H66" s="23">
        <v>2.8969999999999998</v>
      </c>
      <c r="I66" s="23">
        <v>2.9039999999999999</v>
      </c>
      <c r="J66" s="23">
        <v>2.9129999999999998</v>
      </c>
      <c r="K66" s="23">
        <v>2.9209999999999998</v>
      </c>
    </row>
    <row r="67" spans="1:11" x14ac:dyDescent="0.2">
      <c r="A67" s="1">
        <v>43294</v>
      </c>
      <c r="B67" s="23">
        <v>2.633</v>
      </c>
      <c r="C67" s="23">
        <v>2.8090000000000002</v>
      </c>
      <c r="D67" s="23">
        <v>2.859</v>
      </c>
      <c r="E67" s="23">
        <v>2.8719999999999999</v>
      </c>
      <c r="F67" s="23">
        <v>2.8740000000000001</v>
      </c>
      <c r="G67" s="23">
        <v>2.8740000000000001</v>
      </c>
      <c r="H67" s="23">
        <v>2.8769999999999998</v>
      </c>
      <c r="I67" s="23">
        <v>2.8839999999999999</v>
      </c>
      <c r="J67" s="23">
        <v>2.8919999999999999</v>
      </c>
      <c r="K67" s="23">
        <v>2.9009999999999998</v>
      </c>
    </row>
    <row r="68" spans="1:11" x14ac:dyDescent="0.2">
      <c r="A68" s="1">
        <v>43297</v>
      </c>
      <c r="B68" s="23">
        <v>2.641</v>
      </c>
      <c r="C68" s="23">
        <v>2.831</v>
      </c>
      <c r="D68" s="23">
        <v>2.8849999999999998</v>
      </c>
      <c r="E68" s="23">
        <v>2.91</v>
      </c>
      <c r="F68" s="23">
        <v>2.9049999999999998</v>
      </c>
      <c r="G68" s="23">
        <v>2.907</v>
      </c>
      <c r="H68" s="23">
        <v>2.9119999999999999</v>
      </c>
      <c r="I68" s="23">
        <v>2.9180000000000001</v>
      </c>
      <c r="J68" s="23">
        <v>2.9279999999999999</v>
      </c>
      <c r="K68" s="23">
        <v>2.9369999999999998</v>
      </c>
    </row>
    <row r="69" spans="1:11" x14ac:dyDescent="0.2">
      <c r="A69" s="1">
        <v>43298</v>
      </c>
      <c r="B69" s="23">
        <v>2.6509999999999998</v>
      </c>
      <c r="C69" s="23">
        <v>2.8330000000000002</v>
      </c>
      <c r="D69" s="23">
        <v>2.8849999999999998</v>
      </c>
      <c r="E69" s="23">
        <v>2.8969999999999998</v>
      </c>
      <c r="F69" s="23">
        <v>2.899</v>
      </c>
      <c r="G69" s="23">
        <v>2.899</v>
      </c>
      <c r="H69" s="23">
        <v>2.9039999999999999</v>
      </c>
      <c r="I69" s="23">
        <v>2.9079999999999999</v>
      </c>
      <c r="J69" s="23">
        <v>2.9169999999999998</v>
      </c>
      <c r="K69" s="23">
        <v>2.9260000000000002</v>
      </c>
    </row>
    <row r="70" spans="1:11" x14ac:dyDescent="0.2">
      <c r="A70" s="1">
        <v>43299</v>
      </c>
      <c r="B70" s="23">
        <v>2.6549999999999998</v>
      </c>
      <c r="C70" s="23">
        <v>2.8330000000000002</v>
      </c>
      <c r="D70" s="23">
        <v>2.8849999999999998</v>
      </c>
      <c r="E70" s="23">
        <v>2.8980000000000001</v>
      </c>
      <c r="F70" s="23">
        <v>2.9</v>
      </c>
      <c r="G70" s="23">
        <v>2.9020000000000001</v>
      </c>
      <c r="H70" s="23">
        <v>2.9049999999999998</v>
      </c>
      <c r="I70" s="23">
        <v>2.9119999999999999</v>
      </c>
      <c r="J70" s="23">
        <v>2.92</v>
      </c>
      <c r="K70" s="23">
        <v>2.93</v>
      </c>
    </row>
    <row r="71" spans="1:11" x14ac:dyDescent="0.2">
      <c r="A71" s="1">
        <v>43300</v>
      </c>
      <c r="B71" s="23">
        <v>2.645</v>
      </c>
      <c r="C71" s="23">
        <v>2.835</v>
      </c>
      <c r="D71" s="23">
        <v>2.8839999999999999</v>
      </c>
      <c r="E71" s="23">
        <v>2.8969999999999998</v>
      </c>
      <c r="F71" s="23">
        <v>2.9</v>
      </c>
      <c r="G71" s="23">
        <v>2.9009999999999998</v>
      </c>
      <c r="H71" s="23">
        <v>2.9039999999999999</v>
      </c>
      <c r="I71" s="23">
        <v>2.9089999999999998</v>
      </c>
      <c r="J71" s="23">
        <v>2.9169999999999998</v>
      </c>
      <c r="K71" s="23">
        <v>2.9260000000000002</v>
      </c>
    </row>
    <row r="72" spans="1:11" x14ac:dyDescent="0.2">
      <c r="A72" s="1">
        <v>43301</v>
      </c>
      <c r="B72" s="23">
        <v>2.6440000000000001</v>
      </c>
      <c r="C72" s="23">
        <v>2.827</v>
      </c>
      <c r="D72" s="23">
        <v>2.88</v>
      </c>
      <c r="E72" s="23">
        <v>2.8980000000000001</v>
      </c>
      <c r="F72" s="23">
        <v>2.9049999999999998</v>
      </c>
      <c r="G72" s="23">
        <v>2.911</v>
      </c>
      <c r="H72" s="23">
        <v>2.919</v>
      </c>
      <c r="I72" s="23">
        <v>2.9289999999999998</v>
      </c>
      <c r="J72" s="23">
        <v>2.94</v>
      </c>
      <c r="K72" s="23">
        <v>2.952</v>
      </c>
    </row>
    <row r="73" spans="1:11" x14ac:dyDescent="0.2">
      <c r="A73" s="1">
        <v>43304</v>
      </c>
      <c r="B73" s="23">
        <v>2.653</v>
      </c>
      <c r="C73" s="23">
        <v>2.839</v>
      </c>
      <c r="D73" s="23">
        <v>2.9009999999999998</v>
      </c>
      <c r="E73" s="23">
        <v>2.9260000000000002</v>
      </c>
      <c r="F73" s="23">
        <v>2.94</v>
      </c>
      <c r="G73" s="23">
        <v>2.9489999999999998</v>
      </c>
      <c r="H73" s="23">
        <v>2.96</v>
      </c>
      <c r="I73" s="23">
        <v>2.9710000000000001</v>
      </c>
      <c r="J73" s="23">
        <v>2.9830000000000001</v>
      </c>
      <c r="K73" s="23">
        <v>2.9950000000000001</v>
      </c>
    </row>
    <row r="74" spans="1:11" x14ac:dyDescent="0.2">
      <c r="A74" s="1">
        <v>43305</v>
      </c>
      <c r="B74" s="23">
        <v>2.649</v>
      </c>
      <c r="C74" s="23">
        <v>2.855</v>
      </c>
      <c r="D74" s="23">
        <v>2.923</v>
      </c>
      <c r="E74" s="23">
        <v>2.9489999999999998</v>
      </c>
      <c r="F74" s="23">
        <v>2.9620000000000002</v>
      </c>
      <c r="G74" s="23">
        <v>2.9710000000000001</v>
      </c>
      <c r="H74" s="23">
        <v>2.98</v>
      </c>
      <c r="I74" s="23">
        <v>2.99</v>
      </c>
      <c r="J74" s="23">
        <v>3.0009999999999999</v>
      </c>
      <c r="K74" s="23">
        <v>3.0129999999999999</v>
      </c>
    </row>
    <row r="75" spans="1:11" x14ac:dyDescent="0.2">
      <c r="A75" s="1">
        <v>43306</v>
      </c>
      <c r="B75" s="23">
        <v>2.65</v>
      </c>
      <c r="C75" s="23">
        <v>2.8479999999999999</v>
      </c>
      <c r="D75" s="23">
        <v>2.9129999999999998</v>
      </c>
      <c r="E75" s="23">
        <v>2.9369999999999998</v>
      </c>
      <c r="F75" s="23">
        <v>2.948</v>
      </c>
      <c r="G75" s="23">
        <v>2.9540000000000002</v>
      </c>
      <c r="H75" s="23">
        <v>2.9609999999999999</v>
      </c>
      <c r="I75" s="23">
        <v>2.9689999999999999</v>
      </c>
      <c r="J75" s="23">
        <v>2.98</v>
      </c>
      <c r="K75" s="23">
        <v>2.99</v>
      </c>
    </row>
    <row r="76" spans="1:11" x14ac:dyDescent="0.2">
      <c r="A76" s="1">
        <v>43307</v>
      </c>
      <c r="B76" s="23">
        <v>2.665</v>
      </c>
      <c r="C76" s="23">
        <v>2.8639999999999999</v>
      </c>
      <c r="D76" s="23">
        <v>2.9319999999999999</v>
      </c>
      <c r="E76" s="23">
        <v>2.9550000000000001</v>
      </c>
      <c r="F76" s="23">
        <v>2.9660000000000002</v>
      </c>
      <c r="G76" s="23">
        <v>2.972</v>
      </c>
      <c r="H76" s="23">
        <v>2.98</v>
      </c>
      <c r="I76" s="23">
        <v>2.988</v>
      </c>
      <c r="J76" s="23">
        <v>2.9990000000000001</v>
      </c>
      <c r="K76" s="23">
        <v>3.0110000000000001</v>
      </c>
    </row>
    <row r="77" spans="1:11" x14ac:dyDescent="0.2">
      <c r="A77" s="1">
        <v>43308</v>
      </c>
      <c r="B77" s="23">
        <v>2.6709999999999998</v>
      </c>
      <c r="C77" s="23">
        <v>2.879</v>
      </c>
      <c r="D77" s="23">
        <v>2.9390000000000001</v>
      </c>
      <c r="E77" s="23">
        <v>2.9609999999999999</v>
      </c>
      <c r="F77" s="23">
        <v>2.97</v>
      </c>
      <c r="G77" s="23">
        <v>2.9780000000000002</v>
      </c>
      <c r="H77" s="23">
        <v>2.9870000000000001</v>
      </c>
      <c r="I77" s="23">
        <v>2.9980000000000002</v>
      </c>
      <c r="J77" s="23">
        <v>3.008</v>
      </c>
      <c r="K77" s="23">
        <v>3.0209999999999999</v>
      </c>
    </row>
    <row r="78" spans="1:11" x14ac:dyDescent="0.2">
      <c r="A78" s="1">
        <v>43311</v>
      </c>
      <c r="B78" s="23">
        <v>2.6720000000000002</v>
      </c>
      <c r="C78" s="23">
        <v>2.8849999999999998</v>
      </c>
      <c r="D78" s="23">
        <v>2.9510000000000001</v>
      </c>
      <c r="E78" s="23">
        <v>2.9740000000000002</v>
      </c>
      <c r="F78" s="23">
        <v>2.9849999999999999</v>
      </c>
      <c r="G78" s="23">
        <v>2.9940000000000002</v>
      </c>
      <c r="H78" s="23">
        <v>3.0049999999999999</v>
      </c>
      <c r="I78" s="23">
        <v>3.016</v>
      </c>
      <c r="J78" s="23">
        <v>3.028</v>
      </c>
      <c r="K78" s="23">
        <v>3.04</v>
      </c>
    </row>
    <row r="79" spans="1:11" x14ac:dyDescent="0.2">
      <c r="A79" s="1">
        <v>43312</v>
      </c>
      <c r="B79" s="23">
        <v>2.6789999999999998</v>
      </c>
      <c r="C79" s="23">
        <v>2.8809999999999998</v>
      </c>
      <c r="D79" s="23">
        <v>2.944</v>
      </c>
      <c r="E79" s="23">
        <v>2.9660000000000002</v>
      </c>
      <c r="F79" s="23">
        <v>2.9769999999999999</v>
      </c>
      <c r="G79" s="23">
        <v>2.9860000000000002</v>
      </c>
      <c r="H79" s="23">
        <v>2.996</v>
      </c>
      <c r="I79" s="23">
        <v>3.0059999999999998</v>
      </c>
      <c r="J79" s="23">
        <v>3.0179999999999998</v>
      </c>
      <c r="K79" s="23">
        <v>3.0310000000000001</v>
      </c>
    </row>
    <row r="80" spans="1:11" x14ac:dyDescent="0.2">
      <c r="A80" s="1">
        <v>43313</v>
      </c>
      <c r="B80" s="23">
        <v>2.6880000000000002</v>
      </c>
      <c r="C80" s="23">
        <v>2.8980000000000001</v>
      </c>
      <c r="D80" s="23">
        <v>2.968</v>
      </c>
      <c r="E80" s="23">
        <v>2.996</v>
      </c>
      <c r="F80" s="23">
        <v>3.0110000000000001</v>
      </c>
      <c r="G80" s="23">
        <v>3.0230000000000001</v>
      </c>
      <c r="H80" s="23">
        <v>3.0339999999999998</v>
      </c>
      <c r="I80" s="23">
        <v>3.0459999999999998</v>
      </c>
      <c r="J80" s="23">
        <v>3.0590000000000002</v>
      </c>
      <c r="K80" s="23">
        <v>3.0710000000000002</v>
      </c>
    </row>
    <row r="81" spans="1:11" x14ac:dyDescent="0.2">
      <c r="A81" s="1">
        <v>43314</v>
      </c>
      <c r="B81" s="23">
        <v>2.6779999999999999</v>
      </c>
      <c r="C81" s="23">
        <v>2.8849999999999998</v>
      </c>
      <c r="D81" s="23">
        <v>2.9550000000000001</v>
      </c>
      <c r="E81" s="23">
        <v>2.9809999999999999</v>
      </c>
      <c r="F81" s="23">
        <v>2.9950000000000001</v>
      </c>
      <c r="G81" s="23">
        <v>3.008</v>
      </c>
      <c r="H81" s="23">
        <v>3.02</v>
      </c>
      <c r="I81" s="23">
        <v>3.0329999999999999</v>
      </c>
      <c r="J81" s="23">
        <v>3.0459999999999998</v>
      </c>
      <c r="K81" s="23">
        <v>3.06</v>
      </c>
    </row>
    <row r="82" spans="1:11" x14ac:dyDescent="0.2">
      <c r="A82" s="1">
        <v>43315</v>
      </c>
      <c r="B82" s="23">
        <v>2.6720000000000002</v>
      </c>
      <c r="C82" s="23">
        <v>2.8679999999999999</v>
      </c>
      <c r="D82" s="23">
        <v>2.9289999999999998</v>
      </c>
      <c r="E82" s="23">
        <v>2.9529999999999998</v>
      </c>
      <c r="F82" s="23">
        <v>2.9649999999999999</v>
      </c>
      <c r="G82" s="23">
        <v>2.976</v>
      </c>
      <c r="H82" s="23">
        <v>2.988</v>
      </c>
      <c r="I82" s="23">
        <v>3.0009999999999999</v>
      </c>
      <c r="J82" s="23">
        <v>3.0139999999999998</v>
      </c>
      <c r="K82" s="23">
        <v>3.028</v>
      </c>
    </row>
    <row r="83" spans="1:11" x14ac:dyDescent="0.2">
      <c r="A83" s="1">
        <v>43318</v>
      </c>
      <c r="B83" s="23">
        <v>2.6720000000000002</v>
      </c>
      <c r="C83" s="23">
        <v>2.86</v>
      </c>
      <c r="D83" s="23">
        <v>2.9159999999999999</v>
      </c>
      <c r="E83" s="23">
        <v>2.9369999999999998</v>
      </c>
      <c r="F83" s="23">
        <v>2.9470000000000001</v>
      </c>
      <c r="G83" s="23">
        <v>2.956</v>
      </c>
      <c r="H83" s="23">
        <v>2.9670000000000001</v>
      </c>
      <c r="I83" s="23">
        <v>2.9780000000000002</v>
      </c>
      <c r="J83" s="23">
        <v>2.9910000000000001</v>
      </c>
      <c r="K83" s="23">
        <v>3.0030000000000001</v>
      </c>
    </row>
    <row r="84" spans="1:11" x14ac:dyDescent="0.2">
      <c r="A84" s="1">
        <v>43319</v>
      </c>
      <c r="B84" s="23">
        <v>2.6749999999999998</v>
      </c>
      <c r="C84" s="23">
        <v>2.875</v>
      </c>
      <c r="D84" s="23">
        <v>2.9380000000000002</v>
      </c>
      <c r="E84" s="23">
        <v>2.96</v>
      </c>
      <c r="F84" s="23">
        <v>2.97</v>
      </c>
      <c r="G84" s="23">
        <v>2.98</v>
      </c>
      <c r="H84" s="23">
        <v>2.9910000000000001</v>
      </c>
      <c r="I84" s="23">
        <v>3.0019999999999998</v>
      </c>
      <c r="J84" s="23">
        <v>3.0139999999999998</v>
      </c>
      <c r="K84" s="23">
        <v>3.0259999999999998</v>
      </c>
    </row>
    <row r="85" spans="1:11" x14ac:dyDescent="0.2">
      <c r="A85" s="1">
        <v>43320</v>
      </c>
      <c r="B85" s="23">
        <v>2.6720000000000002</v>
      </c>
      <c r="C85" s="23">
        <v>2.8690000000000002</v>
      </c>
      <c r="D85" s="23">
        <v>2.9319999999999999</v>
      </c>
      <c r="E85" s="23">
        <v>2.9540000000000002</v>
      </c>
      <c r="F85" s="23">
        <v>2.9649999999999999</v>
      </c>
      <c r="G85" s="23">
        <v>2.9750000000000001</v>
      </c>
      <c r="H85" s="23">
        <v>2.9860000000000002</v>
      </c>
      <c r="I85" s="23">
        <v>2.9980000000000002</v>
      </c>
      <c r="J85" s="23">
        <v>3.0110000000000001</v>
      </c>
      <c r="K85" s="23">
        <v>3.024</v>
      </c>
    </row>
    <row r="86" spans="1:11" x14ac:dyDescent="0.2">
      <c r="A86" s="1">
        <v>43321</v>
      </c>
      <c r="B86" s="23">
        <v>2.6549999999999998</v>
      </c>
      <c r="C86" s="23">
        <v>2.85</v>
      </c>
      <c r="D86" s="23">
        <v>2.91</v>
      </c>
      <c r="E86" s="23">
        <v>2.9289999999999998</v>
      </c>
      <c r="F86" s="23">
        <v>2.9359999999999999</v>
      </c>
      <c r="G86" s="23">
        <v>2.9449999999999998</v>
      </c>
      <c r="H86" s="23">
        <v>2.9550000000000001</v>
      </c>
      <c r="I86" s="23">
        <v>2.9670000000000001</v>
      </c>
      <c r="J86" s="23">
        <v>2.98</v>
      </c>
      <c r="K86" s="23">
        <v>2.992</v>
      </c>
    </row>
    <row r="87" spans="1:11" x14ac:dyDescent="0.2">
      <c r="A87" s="1">
        <v>43325</v>
      </c>
      <c r="B87" s="23">
        <v>2.6179999999999999</v>
      </c>
      <c r="C87" s="23">
        <v>2.8079999999999998</v>
      </c>
      <c r="D87" s="23">
        <v>2.86</v>
      </c>
      <c r="E87" s="23">
        <v>2.875</v>
      </c>
      <c r="F87" s="23">
        <v>2.883</v>
      </c>
      <c r="G87" s="23">
        <v>2.89</v>
      </c>
      <c r="H87" s="23">
        <v>2.9</v>
      </c>
      <c r="I87" s="23">
        <v>2.9119999999999999</v>
      </c>
      <c r="J87" s="23">
        <v>2.9239999999999999</v>
      </c>
      <c r="K87" s="23">
        <v>2.9380000000000002</v>
      </c>
    </row>
    <row r="88" spans="1:11" x14ac:dyDescent="0.2">
      <c r="A88" s="1">
        <v>43326</v>
      </c>
      <c r="B88" s="23">
        <v>2.64</v>
      </c>
      <c r="C88" s="23">
        <v>2.8210000000000002</v>
      </c>
      <c r="D88" s="23">
        <v>2.8740000000000001</v>
      </c>
      <c r="E88" s="23">
        <v>2.891</v>
      </c>
      <c r="F88" s="23">
        <v>2.899</v>
      </c>
      <c r="G88" s="23">
        <v>2.907</v>
      </c>
      <c r="H88" s="23">
        <v>2.9180000000000001</v>
      </c>
      <c r="I88" s="23">
        <v>2.9289999999999998</v>
      </c>
      <c r="J88" s="23">
        <v>2.9430000000000001</v>
      </c>
      <c r="K88" s="23">
        <v>2.956</v>
      </c>
    </row>
    <row r="89" spans="1:11" x14ac:dyDescent="0.2">
      <c r="A89" s="1">
        <v>43327</v>
      </c>
      <c r="B89" s="23">
        <v>2.6240000000000001</v>
      </c>
      <c r="C89" s="23">
        <v>2.7850000000000001</v>
      </c>
      <c r="D89" s="23">
        <v>2.83</v>
      </c>
      <c r="E89" s="23">
        <v>2.843</v>
      </c>
      <c r="F89" s="23">
        <v>2.8490000000000002</v>
      </c>
      <c r="G89" s="23">
        <v>2.8559999999999999</v>
      </c>
      <c r="H89" s="23">
        <v>2.8650000000000002</v>
      </c>
      <c r="I89" s="23">
        <v>2.8769999999999998</v>
      </c>
      <c r="J89" s="23">
        <v>2.891</v>
      </c>
      <c r="K89" s="23">
        <v>2.9049999999999998</v>
      </c>
    </row>
    <row r="90" spans="1:11" x14ac:dyDescent="0.2">
      <c r="A90" s="1">
        <v>43328</v>
      </c>
      <c r="B90" s="23">
        <v>2.649</v>
      </c>
      <c r="C90" s="23">
        <v>2.819</v>
      </c>
      <c r="D90" s="23">
        <v>2.8679999999999999</v>
      </c>
      <c r="E90" s="23">
        <v>2.8809999999999998</v>
      </c>
      <c r="F90" s="23">
        <v>2.8879999999999999</v>
      </c>
      <c r="G90" s="23">
        <v>2.8959999999999999</v>
      </c>
      <c r="H90" s="23">
        <v>2.9049999999999998</v>
      </c>
      <c r="I90" s="23">
        <v>2.915</v>
      </c>
      <c r="J90" s="23">
        <v>2.93</v>
      </c>
      <c r="K90" s="23">
        <v>2.9430000000000001</v>
      </c>
    </row>
    <row r="91" spans="1:11" x14ac:dyDescent="0.2">
      <c r="A91" s="1">
        <v>43329</v>
      </c>
      <c r="B91" s="23">
        <v>2.64</v>
      </c>
      <c r="C91" s="23">
        <v>2.8090000000000002</v>
      </c>
      <c r="D91" s="23">
        <v>2.8570000000000002</v>
      </c>
      <c r="E91" s="23">
        <v>2.87</v>
      </c>
      <c r="F91" s="23">
        <v>2.8759999999999999</v>
      </c>
      <c r="G91" s="23">
        <v>2.8809999999999998</v>
      </c>
      <c r="H91" s="23">
        <v>2.89</v>
      </c>
      <c r="I91" s="23">
        <v>2.9020000000000001</v>
      </c>
      <c r="J91" s="23">
        <v>2.9140000000000001</v>
      </c>
      <c r="K91" s="23">
        <v>2.9260000000000002</v>
      </c>
    </row>
    <row r="92" spans="1:11" x14ac:dyDescent="0.2">
      <c r="A92" s="1">
        <v>43332</v>
      </c>
      <c r="B92" s="23">
        <v>2.6230000000000002</v>
      </c>
      <c r="C92" s="23">
        <v>2.7959999999999998</v>
      </c>
      <c r="D92" s="23">
        <v>2.8410000000000002</v>
      </c>
      <c r="E92" s="23">
        <v>2.8519999999999999</v>
      </c>
      <c r="F92" s="23">
        <v>2.8559999999999999</v>
      </c>
      <c r="G92" s="23">
        <v>2.8610000000000002</v>
      </c>
      <c r="H92" s="23">
        <v>2.8679999999999999</v>
      </c>
      <c r="I92" s="23">
        <v>2.879</v>
      </c>
      <c r="J92" s="23">
        <v>2.891</v>
      </c>
      <c r="K92" s="23">
        <v>2.903</v>
      </c>
    </row>
    <row r="93" spans="1:11" x14ac:dyDescent="0.2">
      <c r="A93" s="1">
        <v>43333</v>
      </c>
      <c r="B93" s="23">
        <v>2.6269999999999998</v>
      </c>
      <c r="C93" s="23">
        <v>2.8010000000000002</v>
      </c>
      <c r="D93" s="23">
        <v>2.8479999999999999</v>
      </c>
      <c r="E93" s="23">
        <v>2.86</v>
      </c>
      <c r="F93" s="23">
        <v>2.8650000000000002</v>
      </c>
      <c r="G93" s="23">
        <v>2.871</v>
      </c>
      <c r="H93" s="23">
        <v>2.879</v>
      </c>
      <c r="I93" s="23">
        <v>2.89</v>
      </c>
      <c r="J93" s="23">
        <v>2.9020000000000001</v>
      </c>
      <c r="K93" s="23">
        <v>2.915</v>
      </c>
    </row>
    <row r="94" spans="1:11" x14ac:dyDescent="0.2">
      <c r="A94" s="1">
        <v>43334</v>
      </c>
      <c r="B94" s="23">
        <v>2.6230000000000002</v>
      </c>
      <c r="C94" s="23">
        <v>2.794</v>
      </c>
      <c r="D94" s="23">
        <v>2.8370000000000002</v>
      </c>
      <c r="E94" s="23">
        <v>2.8490000000000002</v>
      </c>
      <c r="F94" s="23">
        <v>2.8530000000000002</v>
      </c>
      <c r="G94" s="23">
        <v>2.8580000000000001</v>
      </c>
      <c r="H94" s="23">
        <v>2.8660000000000001</v>
      </c>
      <c r="I94" s="23">
        <v>2.8780000000000001</v>
      </c>
      <c r="J94" s="23">
        <v>2.891</v>
      </c>
      <c r="K94" s="23">
        <v>2.9039999999999999</v>
      </c>
    </row>
    <row r="95" spans="1:11" x14ac:dyDescent="0.2">
      <c r="A95" s="1">
        <v>43335</v>
      </c>
      <c r="B95" s="23">
        <v>2.629</v>
      </c>
      <c r="C95" s="23">
        <v>2.794</v>
      </c>
      <c r="D95" s="23">
        <v>2.8370000000000002</v>
      </c>
      <c r="E95" s="23">
        <v>2.8450000000000002</v>
      </c>
      <c r="F95" s="23">
        <v>2.8479999999999999</v>
      </c>
      <c r="G95" s="23">
        <v>2.8530000000000002</v>
      </c>
      <c r="H95" s="23">
        <v>2.8610000000000002</v>
      </c>
      <c r="I95" s="23">
        <v>2.8730000000000002</v>
      </c>
      <c r="J95" s="23">
        <v>2.887</v>
      </c>
      <c r="K95" s="23">
        <v>2.899</v>
      </c>
    </row>
    <row r="96" spans="1:11" x14ac:dyDescent="0.2">
      <c r="A96" s="1">
        <v>43336</v>
      </c>
      <c r="B96" s="23">
        <v>2.641</v>
      </c>
      <c r="C96" s="23">
        <v>2.81</v>
      </c>
      <c r="D96" s="23">
        <v>2.85</v>
      </c>
      <c r="E96" s="23">
        <v>2.8570000000000002</v>
      </c>
      <c r="F96" s="23">
        <v>2.859</v>
      </c>
      <c r="G96" s="23">
        <v>2.8620000000000001</v>
      </c>
      <c r="H96" s="23">
        <v>2.8679999999999999</v>
      </c>
      <c r="I96" s="23">
        <v>2.8769999999999998</v>
      </c>
      <c r="J96" s="23">
        <v>2.8889999999999998</v>
      </c>
      <c r="K96" s="23">
        <v>2.9</v>
      </c>
    </row>
    <row r="97" spans="1:11" x14ac:dyDescent="0.2">
      <c r="A97" s="1">
        <v>43339</v>
      </c>
      <c r="B97" s="23">
        <v>2.6560000000000001</v>
      </c>
      <c r="C97" s="23">
        <v>2.823</v>
      </c>
      <c r="D97" s="23">
        <v>2.8650000000000002</v>
      </c>
      <c r="E97" s="23">
        <v>2.8719999999999999</v>
      </c>
      <c r="F97" s="23">
        <v>2.8730000000000002</v>
      </c>
      <c r="G97" s="23">
        <v>2.8759999999999999</v>
      </c>
      <c r="H97" s="23">
        <v>2.8820000000000001</v>
      </c>
      <c r="I97" s="23">
        <v>2.8919999999999999</v>
      </c>
      <c r="J97" s="23">
        <v>2.9039999999999999</v>
      </c>
      <c r="K97" s="23">
        <v>2.9159999999999999</v>
      </c>
    </row>
    <row r="98" spans="1:11" x14ac:dyDescent="0.2">
      <c r="A98" s="1">
        <v>43340</v>
      </c>
      <c r="B98" s="23">
        <v>2.6659999999999999</v>
      </c>
      <c r="C98" s="23">
        <v>2.839</v>
      </c>
      <c r="D98" s="23">
        <v>2.8839999999999999</v>
      </c>
      <c r="E98" s="23">
        <v>2.895</v>
      </c>
      <c r="F98" s="23">
        <v>2.899</v>
      </c>
      <c r="G98" s="23">
        <v>2.9049999999999998</v>
      </c>
      <c r="H98" s="23">
        <v>2.9129999999999998</v>
      </c>
      <c r="I98" s="23">
        <v>2.9249999999999998</v>
      </c>
      <c r="J98" s="23">
        <v>2.9369999999999998</v>
      </c>
      <c r="K98" s="23">
        <v>2.9510000000000001</v>
      </c>
    </row>
    <row r="99" spans="1:11" x14ac:dyDescent="0.2">
      <c r="A99" s="1">
        <v>43341</v>
      </c>
      <c r="B99" s="23">
        <v>2.6669999999999998</v>
      </c>
      <c r="C99" s="23">
        <v>2.8519999999999999</v>
      </c>
      <c r="D99" s="23">
        <v>2.9009999999999998</v>
      </c>
      <c r="E99" s="23">
        <v>2.9119999999999999</v>
      </c>
      <c r="F99" s="23">
        <v>2.915</v>
      </c>
      <c r="G99" s="23">
        <v>2.919</v>
      </c>
      <c r="H99" s="23">
        <v>2.9279999999999999</v>
      </c>
      <c r="I99" s="23">
        <v>2.9390000000000001</v>
      </c>
      <c r="J99" s="23">
        <v>2.952</v>
      </c>
      <c r="K99" s="23">
        <v>2.964</v>
      </c>
    </row>
    <row r="100" spans="1:11" x14ac:dyDescent="0.2">
      <c r="A100" s="1">
        <v>43342</v>
      </c>
      <c r="B100" s="23">
        <v>2.6720000000000002</v>
      </c>
      <c r="C100" s="23">
        <v>2.847</v>
      </c>
      <c r="D100" s="23">
        <v>2.891</v>
      </c>
      <c r="E100" s="23">
        <v>2.9</v>
      </c>
      <c r="F100" s="23">
        <v>2.9009999999999998</v>
      </c>
      <c r="G100" s="23">
        <v>2.9049999999999998</v>
      </c>
      <c r="H100" s="23">
        <v>2.911</v>
      </c>
      <c r="I100" s="23">
        <v>2.9209999999999998</v>
      </c>
      <c r="J100" s="23">
        <v>2.9319999999999999</v>
      </c>
      <c r="K100" s="23">
        <v>2.944</v>
      </c>
    </row>
    <row r="101" spans="1:11" x14ac:dyDescent="0.2">
      <c r="A101" s="1">
        <v>43343</v>
      </c>
      <c r="B101" s="23">
        <v>2.6579999999999999</v>
      </c>
      <c r="C101" s="23">
        <v>2.8279999999999998</v>
      </c>
      <c r="D101" s="23">
        <v>2.8660000000000001</v>
      </c>
      <c r="E101" s="23">
        <v>2.8740000000000001</v>
      </c>
      <c r="F101" s="23">
        <v>2.8740000000000001</v>
      </c>
      <c r="G101" s="23">
        <v>2.8769999999999998</v>
      </c>
      <c r="H101" s="23">
        <v>2.883</v>
      </c>
      <c r="I101" s="23">
        <v>2.8919999999999999</v>
      </c>
      <c r="J101" s="23">
        <v>2.9039999999999999</v>
      </c>
      <c r="K101" s="23">
        <v>2.9159999999999999</v>
      </c>
    </row>
    <row r="102" spans="1:11" x14ac:dyDescent="0.2">
      <c r="A102" s="1">
        <v>43347</v>
      </c>
      <c r="B102" s="23">
        <v>2.6760000000000002</v>
      </c>
      <c r="C102" s="23">
        <v>2.8439999999999999</v>
      </c>
      <c r="D102" s="23">
        <v>2.887</v>
      </c>
      <c r="E102" s="23">
        <v>2.9</v>
      </c>
      <c r="F102" s="23">
        <v>2.9049999999999998</v>
      </c>
      <c r="G102" s="23">
        <v>2.9129999999999998</v>
      </c>
      <c r="H102" s="23">
        <v>2.9239999999999999</v>
      </c>
      <c r="I102" s="23">
        <v>2.9359999999999999</v>
      </c>
      <c r="J102" s="23">
        <v>2.95</v>
      </c>
      <c r="K102" s="23">
        <v>2.9649999999999999</v>
      </c>
    </row>
    <row r="103" spans="1:11" x14ac:dyDescent="0.2">
      <c r="A103" s="1">
        <v>43348</v>
      </c>
      <c r="B103" s="23">
        <v>2.67</v>
      </c>
      <c r="C103" s="23">
        <v>2.84</v>
      </c>
      <c r="D103" s="23">
        <v>2.8849999999999998</v>
      </c>
      <c r="E103" s="23">
        <v>2.8980000000000001</v>
      </c>
      <c r="F103" s="23">
        <v>2.9039999999999999</v>
      </c>
      <c r="G103" s="23">
        <v>2.9119999999999999</v>
      </c>
      <c r="H103" s="23">
        <v>2.923</v>
      </c>
      <c r="I103" s="23">
        <v>2.9359999999999999</v>
      </c>
      <c r="J103" s="23">
        <v>2.9510000000000001</v>
      </c>
      <c r="K103" s="23">
        <v>2.9660000000000002</v>
      </c>
    </row>
    <row r="104" spans="1:11" x14ac:dyDescent="0.2">
      <c r="A104" s="1">
        <v>43349</v>
      </c>
      <c r="B104" s="23">
        <v>2.67</v>
      </c>
      <c r="C104" s="23">
        <v>2.83</v>
      </c>
      <c r="D104" s="23">
        <v>2.8690000000000002</v>
      </c>
      <c r="E104" s="23">
        <v>2.879</v>
      </c>
      <c r="F104" s="23">
        <v>2.883</v>
      </c>
      <c r="G104" s="23">
        <v>2.89</v>
      </c>
      <c r="H104" s="23">
        <v>2.9009999999999998</v>
      </c>
      <c r="I104" s="23">
        <v>2.9140000000000001</v>
      </c>
      <c r="J104" s="23">
        <v>2.9289999999999998</v>
      </c>
      <c r="K104" s="23">
        <v>2.944</v>
      </c>
    </row>
    <row r="105" spans="1:11" x14ac:dyDescent="0.2">
      <c r="A105" s="1">
        <v>43350</v>
      </c>
      <c r="B105" s="23">
        <v>2.7109999999999999</v>
      </c>
      <c r="C105" s="23">
        <v>2.8879999999999999</v>
      </c>
      <c r="D105" s="23">
        <v>2.9350000000000001</v>
      </c>
      <c r="E105" s="23">
        <v>2.9460000000000002</v>
      </c>
      <c r="F105" s="23">
        <v>2.9510000000000001</v>
      </c>
      <c r="G105" s="23">
        <v>2.9580000000000002</v>
      </c>
      <c r="H105" s="23">
        <v>2.9660000000000002</v>
      </c>
      <c r="I105" s="23">
        <v>2.9769999999999999</v>
      </c>
      <c r="J105" s="23">
        <v>2.9910000000000001</v>
      </c>
      <c r="K105" s="23">
        <v>3.004</v>
      </c>
    </row>
    <row r="106" spans="1:11" x14ac:dyDescent="0.2">
      <c r="A106" s="1">
        <v>43353</v>
      </c>
      <c r="B106" s="23">
        <v>2.7189999999999999</v>
      </c>
      <c r="C106" s="23">
        <v>2.8959999999999999</v>
      </c>
      <c r="D106" s="23">
        <v>2.9409999999999998</v>
      </c>
      <c r="E106" s="23">
        <v>2.95</v>
      </c>
      <c r="F106" s="23">
        <v>2.9529999999999998</v>
      </c>
      <c r="G106" s="23">
        <v>2.956</v>
      </c>
      <c r="H106" s="23">
        <v>2.9630000000000001</v>
      </c>
      <c r="I106" s="23">
        <v>2.9729999999999999</v>
      </c>
      <c r="J106" s="23">
        <v>2.9849999999999999</v>
      </c>
      <c r="K106" s="23">
        <v>2.9980000000000002</v>
      </c>
    </row>
    <row r="107" spans="1:11" x14ac:dyDescent="0.2">
      <c r="A107" s="1">
        <v>43354</v>
      </c>
      <c r="B107" s="23">
        <v>2.7370000000000001</v>
      </c>
      <c r="C107" s="23">
        <v>2.9220000000000002</v>
      </c>
      <c r="D107" s="23">
        <v>2.9729999999999999</v>
      </c>
      <c r="E107" s="23">
        <v>2.984</v>
      </c>
      <c r="F107" s="23">
        <v>2.9860000000000002</v>
      </c>
      <c r="G107" s="23">
        <v>2.9889999999999999</v>
      </c>
      <c r="H107" s="23">
        <v>2.9950000000000001</v>
      </c>
      <c r="I107" s="23">
        <v>3.004</v>
      </c>
      <c r="J107" s="23">
        <v>3.0139999999999998</v>
      </c>
      <c r="K107" s="23">
        <v>3.0259999999999998</v>
      </c>
    </row>
    <row r="108" spans="1:11" x14ac:dyDescent="0.2">
      <c r="A108" s="1">
        <v>43355</v>
      </c>
      <c r="B108" s="23">
        <v>2.7290000000000001</v>
      </c>
      <c r="C108" s="23">
        <v>2.92</v>
      </c>
      <c r="D108" s="23">
        <v>2.9689999999999999</v>
      </c>
      <c r="E108" s="23">
        <v>2.98</v>
      </c>
      <c r="F108" s="23">
        <v>2.9809999999999999</v>
      </c>
      <c r="G108" s="23">
        <v>2.9849999999999999</v>
      </c>
      <c r="H108" s="23">
        <v>2.99</v>
      </c>
      <c r="I108" s="23">
        <v>2.9990000000000001</v>
      </c>
      <c r="J108" s="23">
        <v>3.0110000000000001</v>
      </c>
      <c r="K108" s="23">
        <v>3.0230000000000001</v>
      </c>
    </row>
    <row r="109" spans="1:11" x14ac:dyDescent="0.2">
      <c r="A109" s="1">
        <v>43356</v>
      </c>
      <c r="B109" s="23">
        <v>2.7309999999999999</v>
      </c>
      <c r="C109" s="23">
        <v>2.9289999999999998</v>
      </c>
      <c r="D109" s="23">
        <v>2.976</v>
      </c>
      <c r="E109" s="23">
        <v>2.9860000000000002</v>
      </c>
      <c r="F109" s="23">
        <v>2.988</v>
      </c>
      <c r="G109" s="23">
        <v>2.99</v>
      </c>
      <c r="H109" s="23">
        <v>2.9940000000000002</v>
      </c>
      <c r="I109" s="23">
        <v>3.0030000000000001</v>
      </c>
      <c r="J109" s="23">
        <v>3.0139999999999998</v>
      </c>
      <c r="K109" s="23">
        <v>3.0249999999999999</v>
      </c>
    </row>
    <row r="110" spans="1:11" x14ac:dyDescent="0.2">
      <c r="A110" s="1">
        <v>43357</v>
      </c>
      <c r="B110" s="23">
        <v>2.7410000000000001</v>
      </c>
      <c r="C110" s="23">
        <v>2.9540000000000002</v>
      </c>
      <c r="D110" s="23">
        <v>3.008</v>
      </c>
      <c r="E110" s="23">
        <v>3.02</v>
      </c>
      <c r="F110" s="23">
        <v>3.024</v>
      </c>
      <c r="G110" s="23">
        <v>3.0259999999999998</v>
      </c>
      <c r="H110" s="23">
        <v>3.0310000000000001</v>
      </c>
      <c r="I110" s="23">
        <v>3.0390000000000001</v>
      </c>
      <c r="J110" s="23">
        <v>3.05</v>
      </c>
      <c r="K110" s="23">
        <v>3.06</v>
      </c>
    </row>
    <row r="111" spans="1:11" x14ac:dyDescent="0.2">
      <c r="A111" s="1">
        <v>43360</v>
      </c>
      <c r="B111" s="23">
        <v>2.738</v>
      </c>
      <c r="C111" s="23">
        <v>2.95</v>
      </c>
      <c r="D111" s="23">
        <v>3.0030000000000001</v>
      </c>
      <c r="E111" s="23">
        <v>3.0150000000000001</v>
      </c>
      <c r="F111" s="23">
        <v>3.0179999999999998</v>
      </c>
      <c r="G111" s="23">
        <v>3.0209999999999999</v>
      </c>
      <c r="H111" s="23">
        <v>3.0259999999999998</v>
      </c>
      <c r="I111" s="23">
        <v>3.0339999999999998</v>
      </c>
      <c r="J111" s="23">
        <v>3.0449999999999999</v>
      </c>
      <c r="K111" s="23">
        <v>3.0550000000000002</v>
      </c>
    </row>
    <row r="112" spans="1:11" x14ac:dyDescent="0.2">
      <c r="A112" s="1">
        <v>43361</v>
      </c>
      <c r="B112" s="23">
        <v>2.738</v>
      </c>
      <c r="C112" s="23">
        <v>2.9529999999999998</v>
      </c>
      <c r="D112" s="23">
        <v>3.0110000000000001</v>
      </c>
      <c r="E112" s="23">
        <v>3.03</v>
      </c>
      <c r="F112" s="23">
        <v>3.0379999999999998</v>
      </c>
      <c r="G112" s="23">
        <v>3.044</v>
      </c>
      <c r="H112" s="23">
        <v>3.0529999999999999</v>
      </c>
      <c r="I112" s="23">
        <v>3.0640000000000001</v>
      </c>
      <c r="J112" s="23">
        <v>3.077</v>
      </c>
      <c r="K112" s="23">
        <v>3.089</v>
      </c>
    </row>
    <row r="113" spans="1:11" x14ac:dyDescent="0.2">
      <c r="A113" s="1">
        <v>43362</v>
      </c>
      <c r="B113" s="23">
        <v>2.7549999999999999</v>
      </c>
      <c r="C113" s="23">
        <v>2.9750000000000001</v>
      </c>
      <c r="D113" s="23">
        <v>3.0419999999999998</v>
      </c>
      <c r="E113" s="23">
        <v>3.0659999999999998</v>
      </c>
      <c r="F113" s="23">
        <v>3.0790000000000002</v>
      </c>
      <c r="G113" s="23">
        <v>3.089</v>
      </c>
      <c r="H113" s="23">
        <v>3.101</v>
      </c>
      <c r="I113" s="23">
        <v>3.1160000000000001</v>
      </c>
      <c r="J113" s="23">
        <v>3.13</v>
      </c>
      <c r="K113" s="23">
        <v>3.1440000000000001</v>
      </c>
    </row>
    <row r="114" spans="1:11" x14ac:dyDescent="0.2">
      <c r="A114" s="1">
        <v>43363</v>
      </c>
      <c r="B114" s="23">
        <v>2.7789999999999999</v>
      </c>
      <c r="C114" s="23">
        <v>2.9860000000000002</v>
      </c>
      <c r="D114" s="23">
        <v>3.0489999999999999</v>
      </c>
      <c r="E114" s="23">
        <v>3.07</v>
      </c>
      <c r="F114" s="23">
        <v>3.0790000000000002</v>
      </c>
      <c r="G114" s="23">
        <v>3.0870000000000002</v>
      </c>
      <c r="H114" s="23">
        <v>3.0960000000000001</v>
      </c>
      <c r="I114" s="23">
        <v>3.1080000000000001</v>
      </c>
      <c r="J114" s="23">
        <v>3.1190000000000002</v>
      </c>
      <c r="K114" s="23">
        <v>3.1339999999999999</v>
      </c>
    </row>
    <row r="115" spans="1:11" x14ac:dyDescent="0.2">
      <c r="A115" s="1">
        <v>43364</v>
      </c>
      <c r="B115" s="23">
        <v>2.7709999999999999</v>
      </c>
      <c r="C115" s="23">
        <v>2.9860000000000002</v>
      </c>
      <c r="D115" s="23">
        <v>3.05</v>
      </c>
      <c r="E115" s="23">
        <v>3.069</v>
      </c>
      <c r="F115" s="23">
        <v>3.077</v>
      </c>
      <c r="G115" s="23">
        <v>3.0840000000000001</v>
      </c>
      <c r="H115" s="23">
        <v>3.0939999999999999</v>
      </c>
      <c r="I115" s="23">
        <v>3.105</v>
      </c>
      <c r="J115" s="23">
        <v>3.117</v>
      </c>
      <c r="K115" s="23">
        <v>3.129</v>
      </c>
    </row>
    <row r="116" spans="1:11" x14ac:dyDescent="0.2">
      <c r="A116" s="1">
        <v>43367</v>
      </c>
      <c r="B116" s="23">
        <v>2.77</v>
      </c>
      <c r="C116" s="23">
        <v>2.9790000000000001</v>
      </c>
      <c r="D116" s="23">
        <v>3.044</v>
      </c>
      <c r="E116" s="23">
        <v>3.0649999999999999</v>
      </c>
      <c r="F116" s="23">
        <v>3.0739999999999998</v>
      </c>
      <c r="G116" s="23">
        <v>3.0819999999999999</v>
      </c>
      <c r="H116" s="23">
        <v>3.09</v>
      </c>
      <c r="I116" s="23">
        <v>3.101</v>
      </c>
      <c r="J116" s="23">
        <v>3.113</v>
      </c>
      <c r="K116" s="23">
        <v>3.125</v>
      </c>
    </row>
    <row r="117" spans="1:11" x14ac:dyDescent="0.2">
      <c r="A117" s="1">
        <v>43368</v>
      </c>
      <c r="B117" s="23">
        <v>2.7879999999999998</v>
      </c>
      <c r="C117" s="23">
        <v>3.0089999999999999</v>
      </c>
      <c r="D117" s="23">
        <v>3.0779999999999998</v>
      </c>
      <c r="E117" s="23">
        <v>3.1019999999999999</v>
      </c>
      <c r="F117" s="23">
        <v>3.1120000000000001</v>
      </c>
      <c r="G117" s="23">
        <v>3.1190000000000002</v>
      </c>
      <c r="H117" s="23">
        <v>3.1280000000000001</v>
      </c>
      <c r="I117" s="23">
        <v>3.1379999999999999</v>
      </c>
      <c r="J117" s="23">
        <v>3.15</v>
      </c>
      <c r="K117" s="23">
        <v>3.1619999999999999</v>
      </c>
    </row>
    <row r="118" spans="1:11" x14ac:dyDescent="0.2">
      <c r="A118" s="1">
        <v>43370</v>
      </c>
      <c r="B118" s="23">
        <v>2.7909999999999999</v>
      </c>
      <c r="C118" s="23">
        <v>3.0009999999999999</v>
      </c>
      <c r="D118" s="23">
        <v>3.0630000000000002</v>
      </c>
      <c r="E118" s="23">
        <v>3.0790000000000002</v>
      </c>
      <c r="F118" s="23">
        <v>3.0830000000000002</v>
      </c>
      <c r="G118" s="23">
        <v>3.089</v>
      </c>
      <c r="H118" s="23">
        <v>3.0960000000000001</v>
      </c>
      <c r="I118" s="23">
        <v>3.105</v>
      </c>
      <c r="J118" s="23">
        <v>3.1160000000000001</v>
      </c>
      <c r="K118" s="23">
        <v>3.1259999999999999</v>
      </c>
    </row>
    <row r="119" spans="1:11" x14ac:dyDescent="0.2">
      <c r="A119" s="1">
        <v>43371</v>
      </c>
      <c r="B119" s="23">
        <v>2.7869999999999999</v>
      </c>
      <c r="C119" s="23">
        <v>2.9830000000000001</v>
      </c>
      <c r="D119" s="23">
        <v>3.04</v>
      </c>
      <c r="E119" s="23">
        <v>3.0569999999999999</v>
      </c>
      <c r="F119" s="23">
        <v>3.0619999999999998</v>
      </c>
      <c r="G119" s="23">
        <v>3.0680000000000001</v>
      </c>
      <c r="H119" s="23">
        <v>3.0760000000000001</v>
      </c>
      <c r="I119" s="23">
        <v>3.0870000000000002</v>
      </c>
      <c r="J119" s="23">
        <v>3.0979999999999999</v>
      </c>
      <c r="K119" s="23">
        <v>3.11</v>
      </c>
    </row>
    <row r="120" spans="1:11" x14ac:dyDescent="0.2">
      <c r="A120" s="1">
        <v>43374</v>
      </c>
      <c r="B120" s="23">
        <v>2.7879999999999998</v>
      </c>
      <c r="C120" s="23">
        <v>2.988</v>
      </c>
      <c r="D120" s="23">
        <v>3.0470000000000002</v>
      </c>
      <c r="E120" s="23">
        <v>3.0649999999999999</v>
      </c>
      <c r="F120" s="23">
        <v>3.0710000000000002</v>
      </c>
      <c r="G120" s="23">
        <v>3.0779999999999998</v>
      </c>
      <c r="H120" s="23">
        <v>3.0880000000000001</v>
      </c>
      <c r="I120" s="23">
        <v>3.0990000000000002</v>
      </c>
      <c r="J120" s="23">
        <v>3.1110000000000002</v>
      </c>
      <c r="K120" s="23">
        <v>3.1240000000000001</v>
      </c>
    </row>
    <row r="121" spans="1:11" x14ac:dyDescent="0.2">
      <c r="A121" s="1">
        <v>43375</v>
      </c>
      <c r="B121" s="23">
        <v>2.7879999999999998</v>
      </c>
      <c r="C121" s="23">
        <v>2.9790000000000001</v>
      </c>
      <c r="D121" s="23">
        <v>3.0350000000000001</v>
      </c>
      <c r="E121" s="23">
        <v>3.0489999999999999</v>
      </c>
      <c r="F121" s="23">
        <v>3.0529999999999999</v>
      </c>
      <c r="G121" s="23">
        <v>3.0590000000000002</v>
      </c>
      <c r="H121" s="23">
        <v>3.0680000000000001</v>
      </c>
      <c r="I121" s="23">
        <v>3.0790000000000002</v>
      </c>
      <c r="J121" s="23">
        <v>3.0910000000000002</v>
      </c>
      <c r="K121" s="23">
        <v>3.1030000000000002</v>
      </c>
    </row>
    <row r="122" spans="1:11" x14ac:dyDescent="0.2">
      <c r="A122" s="1">
        <v>43376</v>
      </c>
      <c r="B122" s="23">
        <v>2.8029999999999999</v>
      </c>
      <c r="C122" s="23">
        <v>3.008</v>
      </c>
      <c r="D122" s="23">
        <v>3.0710000000000002</v>
      </c>
      <c r="E122" s="23">
        <v>3.089</v>
      </c>
      <c r="F122" s="23">
        <v>3.0950000000000002</v>
      </c>
      <c r="G122" s="23">
        <v>3.1030000000000002</v>
      </c>
      <c r="H122" s="23">
        <v>3.113</v>
      </c>
      <c r="I122" s="23">
        <v>3.1240000000000001</v>
      </c>
      <c r="J122" s="23">
        <v>3.1360000000000001</v>
      </c>
      <c r="K122" s="23">
        <v>3.149</v>
      </c>
    </row>
    <row r="123" spans="1:11" x14ac:dyDescent="0.2">
      <c r="A123" s="1">
        <v>43377</v>
      </c>
      <c r="B123" s="23">
        <v>2.819</v>
      </c>
      <c r="C123" s="23">
        <v>3.05</v>
      </c>
      <c r="D123" s="23">
        <v>3.1269999999999998</v>
      </c>
      <c r="E123" s="23">
        <v>3.1520000000000001</v>
      </c>
      <c r="F123" s="23">
        <v>3.165</v>
      </c>
      <c r="G123" s="23">
        <v>3.18</v>
      </c>
      <c r="H123" s="23">
        <v>3.1949999999999998</v>
      </c>
      <c r="I123" s="23">
        <v>3.2109999999999999</v>
      </c>
      <c r="J123" s="23">
        <v>3.2269999999999999</v>
      </c>
      <c r="K123" s="23">
        <v>3.242</v>
      </c>
    </row>
    <row r="124" spans="1:11" x14ac:dyDescent="0.2">
      <c r="A124" s="1">
        <v>43378</v>
      </c>
      <c r="B124" s="23">
        <v>2.8140000000000001</v>
      </c>
      <c r="C124" s="23">
        <v>3.0659999999999998</v>
      </c>
      <c r="D124" s="23">
        <v>3.1469999999999998</v>
      </c>
      <c r="E124" s="23">
        <v>3.173</v>
      </c>
      <c r="F124" s="23">
        <v>3.1869999999999998</v>
      </c>
      <c r="G124" s="23">
        <v>3.202</v>
      </c>
      <c r="H124" s="23">
        <v>3.2160000000000002</v>
      </c>
      <c r="I124" s="23">
        <v>3.2309999999999999</v>
      </c>
      <c r="J124" s="23">
        <v>3.2469999999999999</v>
      </c>
      <c r="K124" s="23">
        <v>3.262</v>
      </c>
    </row>
    <row r="125" spans="1:11" x14ac:dyDescent="0.2">
      <c r="A125" s="1">
        <v>43382</v>
      </c>
      <c r="B125" s="23">
        <v>2.83</v>
      </c>
      <c r="C125" s="23">
        <v>3.0680000000000001</v>
      </c>
      <c r="D125" s="23">
        <v>3.1440000000000001</v>
      </c>
      <c r="E125" s="23">
        <v>3.1680000000000001</v>
      </c>
      <c r="F125" s="23">
        <v>3.18</v>
      </c>
      <c r="G125" s="23">
        <v>3.194</v>
      </c>
      <c r="H125" s="23">
        <v>3.21</v>
      </c>
      <c r="I125" s="23">
        <v>3.226</v>
      </c>
      <c r="J125" s="23">
        <v>3.2410000000000001</v>
      </c>
      <c r="K125" s="23">
        <v>3.2559999999999998</v>
      </c>
    </row>
    <row r="126" spans="1:11" x14ac:dyDescent="0.2">
      <c r="A126" s="1">
        <v>43383</v>
      </c>
      <c r="B126" s="23">
        <v>2.827</v>
      </c>
      <c r="C126" s="23">
        <v>3.0710000000000002</v>
      </c>
      <c r="D126" s="23">
        <v>3.149</v>
      </c>
      <c r="E126" s="23">
        <v>3.177</v>
      </c>
      <c r="F126" s="23">
        <v>3.1909999999999998</v>
      </c>
      <c r="G126" s="23">
        <v>3.206</v>
      </c>
      <c r="H126" s="23">
        <v>3.222</v>
      </c>
      <c r="I126" s="23">
        <v>3.238</v>
      </c>
      <c r="J126" s="23">
        <v>3.2549999999999999</v>
      </c>
      <c r="K126" s="23">
        <v>3.27</v>
      </c>
    </row>
    <row r="127" spans="1:11" x14ac:dyDescent="0.2">
      <c r="A127" s="1">
        <v>43384</v>
      </c>
      <c r="B127" s="23">
        <v>2.8210000000000002</v>
      </c>
      <c r="C127" s="23">
        <v>3.0489999999999999</v>
      </c>
      <c r="D127" s="23">
        <v>3.1150000000000002</v>
      </c>
      <c r="E127" s="23">
        <v>3.1349999999999998</v>
      </c>
      <c r="F127" s="23">
        <v>3.1429999999999998</v>
      </c>
      <c r="G127" s="23">
        <v>3.1539999999999999</v>
      </c>
      <c r="H127" s="23">
        <v>3.1680000000000001</v>
      </c>
      <c r="I127" s="23">
        <v>3.1819999999999999</v>
      </c>
      <c r="J127" s="23">
        <v>3.198</v>
      </c>
      <c r="K127" s="23">
        <v>3.2130000000000001</v>
      </c>
    </row>
    <row r="128" spans="1:11" x14ac:dyDescent="0.2">
      <c r="A128" s="1">
        <v>43385</v>
      </c>
      <c r="B128" s="23">
        <v>2.8239999999999998</v>
      </c>
      <c r="C128" s="23">
        <v>3.0459999999999998</v>
      </c>
      <c r="D128" s="23">
        <v>3.1139999999999999</v>
      </c>
      <c r="E128" s="23">
        <v>3.133</v>
      </c>
      <c r="F128" s="23">
        <v>3.1419999999999999</v>
      </c>
      <c r="G128" s="23">
        <v>3.153</v>
      </c>
      <c r="H128" s="23">
        <v>3.165</v>
      </c>
      <c r="I128" s="23">
        <v>3.18</v>
      </c>
      <c r="J128" s="23">
        <v>3.1949999999999998</v>
      </c>
      <c r="K128" s="23">
        <v>3.21</v>
      </c>
    </row>
    <row r="129" spans="1:11" x14ac:dyDescent="0.2">
      <c r="A129" s="1">
        <v>43388</v>
      </c>
      <c r="B129" s="23">
        <v>2.8460000000000001</v>
      </c>
      <c r="C129" s="23">
        <v>3.0489999999999999</v>
      </c>
      <c r="D129" s="23">
        <v>3.11</v>
      </c>
      <c r="E129" s="23">
        <v>3.1269999999999998</v>
      </c>
      <c r="F129" s="23">
        <v>3.133</v>
      </c>
      <c r="G129" s="23">
        <v>3.1429999999999998</v>
      </c>
      <c r="H129" s="23">
        <v>3.1549999999999998</v>
      </c>
      <c r="I129" s="23">
        <v>3.17</v>
      </c>
      <c r="J129" s="23">
        <v>3.1840000000000002</v>
      </c>
      <c r="K129" s="23">
        <v>3.1989999999999998</v>
      </c>
    </row>
    <row r="130" spans="1:11" x14ac:dyDescent="0.2">
      <c r="A130" s="1">
        <v>43389</v>
      </c>
      <c r="B130" s="23">
        <v>2.8420000000000001</v>
      </c>
      <c r="C130" s="23">
        <v>3.0649999999999999</v>
      </c>
      <c r="D130" s="23">
        <v>3.1320000000000001</v>
      </c>
      <c r="E130" s="23">
        <v>3.1520000000000001</v>
      </c>
      <c r="F130" s="23">
        <v>3.1589999999999998</v>
      </c>
      <c r="G130" s="23">
        <v>3.17</v>
      </c>
      <c r="H130" s="23">
        <v>3.1829999999999998</v>
      </c>
      <c r="I130" s="23">
        <v>3.1970000000000001</v>
      </c>
      <c r="J130" s="23">
        <v>3.2120000000000002</v>
      </c>
      <c r="K130" s="23">
        <v>3.2269999999999999</v>
      </c>
    </row>
    <row r="131" spans="1:11" x14ac:dyDescent="0.2">
      <c r="A131" s="1">
        <v>43390</v>
      </c>
      <c r="B131" s="23">
        <v>2.8530000000000002</v>
      </c>
      <c r="C131" s="23">
        <v>3.0569999999999999</v>
      </c>
      <c r="D131" s="23">
        <v>3.125</v>
      </c>
      <c r="E131" s="23">
        <v>3.1419999999999999</v>
      </c>
      <c r="F131" s="23">
        <v>3.149</v>
      </c>
      <c r="G131" s="23">
        <v>3.1589999999999998</v>
      </c>
      <c r="H131" s="23">
        <v>3.1709999999999998</v>
      </c>
      <c r="I131" s="23">
        <v>3.1850000000000001</v>
      </c>
      <c r="J131" s="23">
        <v>3.2</v>
      </c>
      <c r="K131" s="23">
        <v>3.2149999999999999</v>
      </c>
    </row>
    <row r="132" spans="1:11" x14ac:dyDescent="0.2">
      <c r="A132" s="1">
        <v>43391</v>
      </c>
      <c r="B132" s="23">
        <v>2.8879999999999999</v>
      </c>
      <c r="C132" s="23">
        <v>3.1179999999999999</v>
      </c>
      <c r="D132" s="23">
        <v>3.1850000000000001</v>
      </c>
      <c r="E132" s="23">
        <v>3.202</v>
      </c>
      <c r="F132" s="23">
        <v>3.2069999999999999</v>
      </c>
      <c r="G132" s="23">
        <v>3.2160000000000002</v>
      </c>
      <c r="H132" s="23">
        <v>3.2280000000000002</v>
      </c>
      <c r="I132" s="23">
        <v>3.242</v>
      </c>
      <c r="J132" s="23">
        <v>3.2559999999999998</v>
      </c>
      <c r="K132" s="23">
        <v>3.27</v>
      </c>
    </row>
    <row r="133" spans="1:11" x14ac:dyDescent="0.2">
      <c r="A133" s="1">
        <v>43392</v>
      </c>
      <c r="B133" s="23">
        <v>2.9</v>
      </c>
      <c r="C133" s="23">
        <v>3.1059999999999999</v>
      </c>
      <c r="D133" s="23">
        <v>3.169</v>
      </c>
      <c r="E133" s="23">
        <v>3.1850000000000001</v>
      </c>
      <c r="F133" s="23">
        <v>3.1909999999999998</v>
      </c>
      <c r="G133" s="23">
        <v>3.202</v>
      </c>
      <c r="H133" s="23">
        <v>3.2160000000000002</v>
      </c>
      <c r="I133" s="23">
        <v>3.23</v>
      </c>
      <c r="J133" s="23">
        <v>3.246</v>
      </c>
      <c r="K133" s="23">
        <v>3.2610000000000001</v>
      </c>
    </row>
    <row r="134" spans="1:11" x14ac:dyDescent="0.2">
      <c r="A134" s="1">
        <v>43395</v>
      </c>
      <c r="B134" s="23">
        <v>2.8929999999999998</v>
      </c>
      <c r="C134" s="23">
        <v>3.1070000000000002</v>
      </c>
      <c r="D134" s="23">
        <v>3.169</v>
      </c>
      <c r="E134" s="23">
        <v>3.1850000000000001</v>
      </c>
      <c r="F134" s="23">
        <v>3.1909999999999998</v>
      </c>
      <c r="G134" s="23">
        <v>3.2010000000000001</v>
      </c>
      <c r="H134" s="23">
        <v>3.214</v>
      </c>
      <c r="I134" s="23">
        <v>3.2290000000000001</v>
      </c>
      <c r="J134" s="23">
        <v>3.2440000000000002</v>
      </c>
      <c r="K134" s="23">
        <v>3.258</v>
      </c>
    </row>
    <row r="135" spans="1:11" x14ac:dyDescent="0.2">
      <c r="A135" s="1">
        <v>43396</v>
      </c>
      <c r="B135" s="23">
        <v>2.8809999999999998</v>
      </c>
      <c r="C135" s="23">
        <v>3.0539999999999998</v>
      </c>
      <c r="D135" s="23">
        <v>3.101</v>
      </c>
      <c r="E135" s="23">
        <v>3.1120000000000001</v>
      </c>
      <c r="F135" s="23">
        <v>3.1160000000000001</v>
      </c>
      <c r="G135" s="23">
        <v>3.1269999999999998</v>
      </c>
      <c r="H135" s="23">
        <v>3.14</v>
      </c>
      <c r="I135" s="23">
        <v>3.1549999999999998</v>
      </c>
      <c r="J135" s="23">
        <v>3.1720000000000002</v>
      </c>
      <c r="K135" s="23">
        <v>3.1880000000000002</v>
      </c>
    </row>
    <row r="136" spans="1:11" x14ac:dyDescent="0.2">
      <c r="A136" s="1">
        <v>43397</v>
      </c>
      <c r="B136" s="23">
        <v>2.8809999999999998</v>
      </c>
      <c r="C136" s="23">
        <v>3.0569999999999999</v>
      </c>
      <c r="D136" s="23">
        <v>3.101</v>
      </c>
      <c r="E136" s="23">
        <v>3.1110000000000002</v>
      </c>
      <c r="F136" s="23">
        <v>3.1139999999999999</v>
      </c>
      <c r="G136" s="23">
        <v>3.1240000000000001</v>
      </c>
      <c r="H136" s="23">
        <v>3.1389999999999998</v>
      </c>
      <c r="I136" s="23">
        <v>3.1560000000000001</v>
      </c>
      <c r="J136" s="23">
        <v>3.1739999999999999</v>
      </c>
      <c r="K136" s="23">
        <v>3.1909999999999998</v>
      </c>
    </row>
    <row r="137" spans="1:11" x14ac:dyDescent="0.2">
      <c r="A137" s="1">
        <v>43398</v>
      </c>
      <c r="B137" s="23">
        <v>2.8929999999999998</v>
      </c>
      <c r="C137" s="23">
        <v>3.069</v>
      </c>
      <c r="D137" s="23">
        <v>3.1120000000000001</v>
      </c>
      <c r="E137" s="23">
        <v>3.12</v>
      </c>
      <c r="F137" s="23">
        <v>3.1230000000000002</v>
      </c>
      <c r="G137" s="23">
        <v>3.1320000000000001</v>
      </c>
      <c r="H137" s="23">
        <v>3.1459999999999999</v>
      </c>
      <c r="I137" s="23">
        <v>3.1619999999999999</v>
      </c>
      <c r="J137" s="23">
        <v>3.1789999999999998</v>
      </c>
      <c r="K137" s="23">
        <v>3.1960000000000002</v>
      </c>
    </row>
    <row r="138" spans="1:11" x14ac:dyDescent="0.2">
      <c r="A138" s="1">
        <v>43399</v>
      </c>
      <c r="B138" s="23">
        <v>2.8660000000000001</v>
      </c>
      <c r="C138" s="23">
        <v>2.9889999999999999</v>
      </c>
      <c r="D138" s="23">
        <v>3.0209999999999999</v>
      </c>
      <c r="E138" s="23">
        <v>3.0289999999999999</v>
      </c>
      <c r="F138" s="23">
        <v>3.0310000000000001</v>
      </c>
      <c r="G138" s="23">
        <v>3.0419999999999998</v>
      </c>
      <c r="H138" s="23">
        <v>3.0579999999999998</v>
      </c>
      <c r="I138" s="23">
        <v>3.0760000000000001</v>
      </c>
      <c r="J138" s="23">
        <v>3.0950000000000002</v>
      </c>
      <c r="K138" s="23">
        <v>3.1139999999999999</v>
      </c>
    </row>
    <row r="139" spans="1:11" x14ac:dyDescent="0.2">
      <c r="A139" s="1">
        <v>43402</v>
      </c>
      <c r="B139" s="23">
        <v>2.8690000000000002</v>
      </c>
      <c r="C139" s="23">
        <v>3.044</v>
      </c>
      <c r="D139" s="23">
        <v>3.0859999999999999</v>
      </c>
      <c r="E139" s="23">
        <v>3.0950000000000002</v>
      </c>
      <c r="F139" s="23">
        <v>3.0990000000000002</v>
      </c>
      <c r="G139" s="23">
        <v>3.1110000000000002</v>
      </c>
      <c r="H139" s="23">
        <v>3.1259999999999999</v>
      </c>
      <c r="I139" s="23">
        <v>3.1440000000000001</v>
      </c>
      <c r="J139" s="23">
        <v>3.1629999999999998</v>
      </c>
      <c r="K139" s="23">
        <v>3.1829999999999998</v>
      </c>
    </row>
    <row r="140" spans="1:11" x14ac:dyDescent="0.2">
      <c r="A140" s="1">
        <v>43403</v>
      </c>
      <c r="B140" s="23">
        <v>2.88</v>
      </c>
      <c r="C140" s="23">
        <v>3.036</v>
      </c>
      <c r="D140" s="23">
        <v>3.073</v>
      </c>
      <c r="E140" s="23">
        <v>3.081</v>
      </c>
      <c r="F140" s="23">
        <v>3.0880000000000001</v>
      </c>
      <c r="G140" s="23">
        <v>3.0979999999999999</v>
      </c>
      <c r="H140" s="23">
        <v>3.113</v>
      </c>
      <c r="I140" s="23">
        <v>3.13</v>
      </c>
      <c r="J140" s="23">
        <v>3.149</v>
      </c>
      <c r="K140" s="23">
        <v>3.1680000000000001</v>
      </c>
    </row>
    <row r="141" spans="1:11" x14ac:dyDescent="0.2">
      <c r="A141" s="1">
        <v>43404</v>
      </c>
      <c r="B141" s="23">
        <v>2.9039999999999999</v>
      </c>
      <c r="C141" s="23">
        <v>3.0750000000000002</v>
      </c>
      <c r="D141" s="23">
        <v>3.1160000000000001</v>
      </c>
      <c r="E141" s="23">
        <v>3.125</v>
      </c>
      <c r="F141" s="23">
        <v>3.1309999999999998</v>
      </c>
      <c r="G141" s="23">
        <v>3.1419999999999999</v>
      </c>
      <c r="H141" s="23">
        <v>3.1560000000000001</v>
      </c>
      <c r="I141" s="23">
        <v>3.173</v>
      </c>
      <c r="J141" s="23">
        <v>3.19</v>
      </c>
      <c r="K141" s="23">
        <v>3.2090000000000001</v>
      </c>
    </row>
    <row r="142" spans="1:11" x14ac:dyDescent="0.2">
      <c r="A142" s="1">
        <v>43405</v>
      </c>
      <c r="B142" s="23">
        <v>2.9089999999999998</v>
      </c>
      <c r="C142" s="23">
        <v>3.077</v>
      </c>
      <c r="D142" s="23">
        <v>3.1179999999999999</v>
      </c>
      <c r="E142" s="23">
        <v>3.1280000000000001</v>
      </c>
      <c r="F142" s="23">
        <v>3.1339999999999999</v>
      </c>
      <c r="G142" s="23">
        <v>3.1459999999999999</v>
      </c>
      <c r="H142" s="23">
        <v>3.161</v>
      </c>
      <c r="I142" s="23">
        <v>3.1789999999999998</v>
      </c>
      <c r="J142" s="23">
        <v>3.198</v>
      </c>
      <c r="K142" s="23">
        <v>3.2170000000000001</v>
      </c>
    </row>
    <row r="143" spans="1:11" x14ac:dyDescent="0.2">
      <c r="A143" s="1">
        <v>43406</v>
      </c>
      <c r="B143" s="23">
        <v>2.9390000000000001</v>
      </c>
      <c r="C143" s="23">
        <v>3.0979999999999999</v>
      </c>
      <c r="D143" s="23">
        <v>3.1419999999999999</v>
      </c>
      <c r="E143" s="23">
        <v>3.1539999999999999</v>
      </c>
      <c r="F143" s="23">
        <v>3.161</v>
      </c>
      <c r="G143" s="23">
        <v>3.173</v>
      </c>
      <c r="H143" s="23">
        <v>3.19</v>
      </c>
      <c r="I143" s="23">
        <v>3.2090000000000001</v>
      </c>
      <c r="J143" s="23">
        <v>3.2290000000000001</v>
      </c>
      <c r="K143" s="23">
        <v>3.2480000000000002</v>
      </c>
    </row>
    <row r="144" spans="1:11" x14ac:dyDescent="0.2">
      <c r="A144" s="1">
        <v>43409</v>
      </c>
      <c r="B144" s="23">
        <v>2.93</v>
      </c>
      <c r="C144" s="23">
        <v>3.1030000000000002</v>
      </c>
      <c r="D144" s="23">
        <v>3.1480000000000001</v>
      </c>
      <c r="E144" s="23">
        <v>3.1589999999999998</v>
      </c>
      <c r="F144" s="23">
        <v>3.1659999999999999</v>
      </c>
      <c r="G144" s="23">
        <v>3.181</v>
      </c>
      <c r="H144" s="23">
        <v>3.198</v>
      </c>
      <c r="I144" s="23">
        <v>3.2160000000000002</v>
      </c>
      <c r="J144" s="23">
        <v>3.2290000000000001</v>
      </c>
      <c r="K144" s="23">
        <v>3.258</v>
      </c>
    </row>
    <row r="145" spans="1:11" x14ac:dyDescent="0.2">
      <c r="A145" s="1">
        <v>43410</v>
      </c>
      <c r="B145" s="23">
        <v>2.9359999999999999</v>
      </c>
      <c r="C145" s="23">
        <v>3.1080000000000001</v>
      </c>
      <c r="D145" s="23">
        <v>3.1539999999999999</v>
      </c>
      <c r="E145" s="23">
        <v>3.1659999999999999</v>
      </c>
      <c r="F145" s="23">
        <v>3.1739999999999999</v>
      </c>
      <c r="G145" s="23">
        <v>3.1859999999999999</v>
      </c>
      <c r="H145" s="23">
        <v>3.2029999999999998</v>
      </c>
      <c r="I145" s="23">
        <v>3.2210000000000001</v>
      </c>
      <c r="J145" s="23">
        <v>3.24</v>
      </c>
      <c r="K145" s="23">
        <v>3.2610000000000001</v>
      </c>
    </row>
    <row r="146" spans="1:11" x14ac:dyDescent="0.2">
      <c r="A146" s="1">
        <v>43411</v>
      </c>
      <c r="B146" s="23">
        <v>2.95</v>
      </c>
      <c r="C146" s="23">
        <v>3.121</v>
      </c>
      <c r="D146" s="23">
        <v>3.165</v>
      </c>
      <c r="E146" s="23">
        <v>3.1720000000000002</v>
      </c>
      <c r="F146" s="23">
        <v>3.177</v>
      </c>
      <c r="G146" s="23">
        <v>3.1859999999999999</v>
      </c>
      <c r="H146" s="23">
        <v>3.1989999999999998</v>
      </c>
      <c r="I146" s="23">
        <v>3.2149999999999999</v>
      </c>
      <c r="J146" s="23">
        <v>3.2320000000000002</v>
      </c>
      <c r="K146" s="23">
        <v>3.2509999999999999</v>
      </c>
    </row>
    <row r="147" spans="1:11" x14ac:dyDescent="0.2">
      <c r="A147" s="1">
        <v>43412</v>
      </c>
      <c r="B147" s="23">
        <v>2.964</v>
      </c>
      <c r="C147" s="23">
        <v>3.1349999999999998</v>
      </c>
      <c r="D147" s="23">
        <v>3.18</v>
      </c>
      <c r="E147" s="23">
        <v>3.19</v>
      </c>
      <c r="F147" s="23">
        <v>3.1949999999999998</v>
      </c>
      <c r="G147" s="23">
        <v>3.206</v>
      </c>
      <c r="H147" s="23">
        <v>3.2210000000000001</v>
      </c>
      <c r="I147" s="23">
        <v>3.238</v>
      </c>
      <c r="J147" s="23">
        <v>3.2570000000000001</v>
      </c>
      <c r="K147" s="23">
        <v>3.2759999999999998</v>
      </c>
    </row>
    <row r="148" spans="1:11" x14ac:dyDescent="0.2">
      <c r="A148" s="1">
        <v>43413</v>
      </c>
      <c r="B148" s="23">
        <v>2.9510000000000001</v>
      </c>
      <c r="C148" s="23">
        <v>3.1219999999999999</v>
      </c>
      <c r="D148" s="23">
        <v>3.1629999999999998</v>
      </c>
      <c r="E148" s="23">
        <v>3.169</v>
      </c>
      <c r="F148" s="23">
        <v>3.173</v>
      </c>
      <c r="G148" s="23">
        <v>3.1819999999999999</v>
      </c>
      <c r="H148" s="23">
        <v>3.1960000000000002</v>
      </c>
      <c r="I148" s="23">
        <v>3.2120000000000002</v>
      </c>
      <c r="J148" s="23">
        <v>3.2290000000000001</v>
      </c>
      <c r="K148" s="23">
        <v>3.2469999999999999</v>
      </c>
    </row>
    <row r="149" spans="1:11" x14ac:dyDescent="0.2">
      <c r="A149" s="1">
        <v>43417</v>
      </c>
      <c r="B149" s="23">
        <v>2.9260000000000002</v>
      </c>
      <c r="C149" s="23">
        <v>3.0910000000000002</v>
      </c>
      <c r="D149" s="23">
        <v>3.1280000000000001</v>
      </c>
      <c r="E149" s="23">
        <v>3.133</v>
      </c>
      <c r="F149" s="23">
        <v>3.1360000000000001</v>
      </c>
      <c r="G149" s="23">
        <v>3.145</v>
      </c>
      <c r="H149" s="23">
        <v>3.16</v>
      </c>
      <c r="I149" s="23">
        <v>3.1760000000000002</v>
      </c>
      <c r="J149" s="23">
        <v>3.194</v>
      </c>
      <c r="K149" s="23">
        <v>3.214</v>
      </c>
    </row>
    <row r="150" spans="1:11" x14ac:dyDescent="0.2">
      <c r="A150" s="1">
        <v>43419</v>
      </c>
      <c r="B150" s="23">
        <v>2.9220000000000002</v>
      </c>
      <c r="C150" s="23">
        <v>3.0310000000000001</v>
      </c>
      <c r="D150" s="23">
        <v>3.0550000000000002</v>
      </c>
      <c r="E150" s="23">
        <v>3.0569999999999999</v>
      </c>
      <c r="F150" s="23">
        <v>3.06</v>
      </c>
      <c r="G150" s="23">
        <v>3.073</v>
      </c>
      <c r="H150" s="23">
        <v>3.0910000000000002</v>
      </c>
      <c r="I150" s="23">
        <v>3.1110000000000002</v>
      </c>
      <c r="J150" s="23">
        <v>3.1320000000000001</v>
      </c>
      <c r="K150" s="23">
        <v>3.1539999999999999</v>
      </c>
    </row>
    <row r="151" spans="1:11" x14ac:dyDescent="0.2">
      <c r="A151" s="1">
        <v>43420</v>
      </c>
      <c r="B151" s="23">
        <v>2.89</v>
      </c>
      <c r="C151" s="23">
        <v>3.0230000000000001</v>
      </c>
      <c r="D151" s="23">
        <v>3.0430000000000001</v>
      </c>
      <c r="E151" s="23">
        <v>3.0459999999999998</v>
      </c>
      <c r="F151" s="23">
        <v>3.052</v>
      </c>
      <c r="G151" s="23">
        <v>3.0670000000000002</v>
      </c>
      <c r="H151" s="23">
        <v>3.0859999999999999</v>
      </c>
      <c r="I151" s="23">
        <v>3.109</v>
      </c>
      <c r="J151" s="23">
        <v>3.1320000000000001</v>
      </c>
      <c r="K151" s="23">
        <v>3.1549999999999998</v>
      </c>
    </row>
    <row r="152" spans="1:11" x14ac:dyDescent="0.2">
      <c r="A152" s="1">
        <v>43423</v>
      </c>
      <c r="B152" s="23">
        <v>2.871</v>
      </c>
      <c r="C152" s="23">
        <v>2.9830000000000001</v>
      </c>
      <c r="D152" s="23">
        <v>3.0030000000000001</v>
      </c>
      <c r="E152" s="23">
        <v>3.008</v>
      </c>
      <c r="F152" s="23">
        <v>3.016</v>
      </c>
      <c r="G152" s="23">
        <v>3.032</v>
      </c>
      <c r="H152" s="23">
        <v>3.0529999999999999</v>
      </c>
      <c r="I152" s="23">
        <v>3.0760000000000001</v>
      </c>
      <c r="J152" s="23">
        <v>3.1</v>
      </c>
      <c r="K152" s="23">
        <v>3.1240000000000001</v>
      </c>
    </row>
    <row r="153" spans="1:11" x14ac:dyDescent="0.2">
      <c r="A153" s="1">
        <v>43424</v>
      </c>
      <c r="B153" s="23">
        <v>2.8809999999999998</v>
      </c>
      <c r="C153" s="23">
        <v>2.9870000000000001</v>
      </c>
      <c r="D153" s="23">
        <v>3.0049999999999999</v>
      </c>
      <c r="E153" s="23">
        <v>3.0110000000000001</v>
      </c>
      <c r="F153" s="23">
        <v>3.02</v>
      </c>
      <c r="G153" s="23">
        <v>3.0350000000000001</v>
      </c>
      <c r="H153" s="23">
        <v>3.0550000000000002</v>
      </c>
      <c r="I153" s="23">
        <v>3.0760000000000001</v>
      </c>
      <c r="J153" s="23">
        <v>3.1</v>
      </c>
      <c r="K153" s="23">
        <v>3.1230000000000002</v>
      </c>
    </row>
    <row r="154" spans="1:11" x14ac:dyDescent="0.2">
      <c r="A154" s="1">
        <v>43425</v>
      </c>
      <c r="B154" s="23">
        <v>2.8959999999999999</v>
      </c>
      <c r="C154" s="23">
        <v>3.01</v>
      </c>
      <c r="D154" s="23">
        <v>3.0329999999999999</v>
      </c>
      <c r="E154" s="23">
        <v>3.0379999999999998</v>
      </c>
      <c r="F154" s="23">
        <v>3.0449999999999999</v>
      </c>
      <c r="G154" s="23">
        <v>3.0579999999999998</v>
      </c>
      <c r="H154" s="23">
        <v>3.0760000000000001</v>
      </c>
      <c r="I154" s="23">
        <v>3.097</v>
      </c>
      <c r="J154" s="23">
        <v>3.1190000000000002</v>
      </c>
      <c r="K154" s="23">
        <v>3.141</v>
      </c>
    </row>
    <row r="155" spans="1:11" x14ac:dyDescent="0.2">
      <c r="A155" s="1">
        <v>43427</v>
      </c>
      <c r="B155" s="23">
        <v>2.8940000000000001</v>
      </c>
      <c r="C155" s="23">
        <v>2.99</v>
      </c>
      <c r="D155" s="23">
        <v>3.004</v>
      </c>
      <c r="E155" s="23">
        <v>3.008</v>
      </c>
      <c r="F155" s="23">
        <v>3.0139999999999998</v>
      </c>
      <c r="G155" s="23">
        <v>3.0249999999999999</v>
      </c>
      <c r="H155" s="23">
        <v>3.0409999999999999</v>
      </c>
      <c r="I155" s="23">
        <v>3.0609999999999999</v>
      </c>
      <c r="J155" s="23">
        <v>3.081</v>
      </c>
      <c r="K155" s="23">
        <v>3.1030000000000002</v>
      </c>
    </row>
    <row r="156" spans="1:11" x14ac:dyDescent="0.2">
      <c r="A156" s="1">
        <v>43430</v>
      </c>
      <c r="B156" s="23">
        <v>2.9159999999999999</v>
      </c>
      <c r="C156" s="23">
        <v>3.0179999999999998</v>
      </c>
      <c r="D156" s="23">
        <v>3.0350000000000001</v>
      </c>
      <c r="E156" s="23">
        <v>3.0379999999999998</v>
      </c>
      <c r="F156" s="23">
        <v>3.044</v>
      </c>
      <c r="G156" s="23">
        <v>3.056</v>
      </c>
      <c r="H156" s="23">
        <v>3.073</v>
      </c>
      <c r="I156" s="23">
        <v>3.0920000000000001</v>
      </c>
      <c r="J156" s="23">
        <v>3.113</v>
      </c>
      <c r="K156" s="23">
        <v>3.1349999999999998</v>
      </c>
    </row>
    <row r="157" spans="1:11" x14ac:dyDescent="0.2">
      <c r="A157" s="1">
        <v>43431</v>
      </c>
      <c r="B157" s="23">
        <v>2.9089999999999998</v>
      </c>
      <c r="C157" s="23">
        <v>3.0150000000000001</v>
      </c>
      <c r="D157" s="23">
        <v>3.03</v>
      </c>
      <c r="E157" s="23">
        <v>3.0289999999999999</v>
      </c>
      <c r="F157" s="23">
        <v>3.0329999999999999</v>
      </c>
      <c r="G157" s="23">
        <v>3.0430000000000001</v>
      </c>
      <c r="H157" s="23">
        <v>3.0579999999999998</v>
      </c>
      <c r="I157" s="23">
        <v>3.077</v>
      </c>
      <c r="J157" s="23">
        <v>3.0979999999999999</v>
      </c>
      <c r="K157" s="23">
        <v>3.1179999999999999</v>
      </c>
    </row>
    <row r="158" spans="1:11" x14ac:dyDescent="0.2">
      <c r="A158" s="1">
        <v>43433</v>
      </c>
      <c r="B158" s="23">
        <v>2.9060000000000001</v>
      </c>
      <c r="C158" s="23">
        <v>2.9660000000000002</v>
      </c>
      <c r="D158" s="23">
        <v>2.97</v>
      </c>
      <c r="E158" s="23">
        <v>2.968</v>
      </c>
      <c r="F158" s="23">
        <v>2.9689999999999999</v>
      </c>
      <c r="G158" s="23">
        <v>2.98</v>
      </c>
      <c r="H158" s="23">
        <v>2.996</v>
      </c>
      <c r="I158" s="23">
        <v>3.0150000000000001</v>
      </c>
      <c r="J158" s="23">
        <v>3.036</v>
      </c>
      <c r="K158" s="23">
        <v>3.0569999999999999</v>
      </c>
    </row>
    <row r="159" spans="1:11" x14ac:dyDescent="0.2">
      <c r="A159" s="1">
        <v>43434</v>
      </c>
      <c r="B159" s="23">
        <v>2.91</v>
      </c>
      <c r="C159" s="23">
        <v>2.9790000000000001</v>
      </c>
      <c r="D159" s="23">
        <v>2.984</v>
      </c>
      <c r="E159" s="23">
        <v>2.9790000000000001</v>
      </c>
      <c r="F159" s="23">
        <v>2.9780000000000002</v>
      </c>
      <c r="G159" s="23">
        <v>2.9860000000000002</v>
      </c>
      <c r="H159" s="23">
        <v>3</v>
      </c>
      <c r="I159" s="23">
        <v>3.0169999999999999</v>
      </c>
      <c r="J159" s="23">
        <v>3.0369999999999999</v>
      </c>
      <c r="K159" s="23">
        <v>3.0569999999999999</v>
      </c>
    </row>
    <row r="160" spans="1:11" x14ac:dyDescent="0.2">
      <c r="A160" s="1">
        <v>43437</v>
      </c>
      <c r="B160" s="23">
        <v>2.9329999999999998</v>
      </c>
      <c r="C160" s="23">
        <v>2.9950000000000001</v>
      </c>
      <c r="D160" s="23">
        <v>2.996</v>
      </c>
      <c r="E160" s="23">
        <v>2.9870000000000001</v>
      </c>
      <c r="F160" s="23">
        <v>2.9830000000000001</v>
      </c>
      <c r="G160" s="23">
        <v>2.9889999999999999</v>
      </c>
      <c r="H160" s="23">
        <v>3.0019999999999998</v>
      </c>
      <c r="I160" s="23">
        <v>3.0169999999999999</v>
      </c>
      <c r="J160" s="23">
        <v>3.0369999999999999</v>
      </c>
      <c r="K160" s="23">
        <v>3.0579999999999998</v>
      </c>
    </row>
    <row r="161" spans="1:11" x14ac:dyDescent="0.2">
      <c r="A161" s="1">
        <v>43438</v>
      </c>
      <c r="B161" s="23">
        <v>2.9140000000000001</v>
      </c>
      <c r="C161" s="23">
        <v>2.9940000000000002</v>
      </c>
      <c r="D161" s="23">
        <v>2.9889999999999999</v>
      </c>
      <c r="E161" s="23">
        <v>2.9729999999999999</v>
      </c>
      <c r="F161" s="23">
        <v>2.96</v>
      </c>
      <c r="G161" s="23">
        <v>2.9620000000000002</v>
      </c>
      <c r="H161" s="23">
        <v>2.968</v>
      </c>
      <c r="I161" s="23">
        <v>2.9809999999999999</v>
      </c>
      <c r="J161" s="23">
        <v>2.9969999999999999</v>
      </c>
      <c r="K161" s="23">
        <v>3.0139999999999998</v>
      </c>
    </row>
    <row r="162" spans="1:11" x14ac:dyDescent="0.2">
      <c r="A162" s="1">
        <v>43440</v>
      </c>
      <c r="B162" s="23">
        <v>2.8959999999999999</v>
      </c>
      <c r="C162" s="23">
        <v>2.87</v>
      </c>
      <c r="D162" s="23">
        <v>2.847</v>
      </c>
      <c r="E162" s="23">
        <v>2.831</v>
      </c>
      <c r="F162" s="23">
        <v>2.8239999999999998</v>
      </c>
      <c r="G162" s="23">
        <v>2.83</v>
      </c>
      <c r="H162" s="23">
        <v>2.8420000000000001</v>
      </c>
      <c r="I162" s="23">
        <v>2.859</v>
      </c>
      <c r="J162" s="23">
        <v>2.8780000000000001</v>
      </c>
      <c r="K162" s="23">
        <v>2.899</v>
      </c>
    </row>
    <row r="163" spans="1:11" x14ac:dyDescent="0.2">
      <c r="A163" s="1">
        <v>43444</v>
      </c>
      <c r="B163" s="23">
        <v>2.8460000000000001</v>
      </c>
      <c r="C163" s="23">
        <v>2.8460000000000001</v>
      </c>
      <c r="D163" s="23">
        <v>2.81</v>
      </c>
      <c r="E163" s="23">
        <v>2.7959999999999998</v>
      </c>
      <c r="F163" s="23">
        <v>2.7949999999999999</v>
      </c>
      <c r="G163" s="23">
        <v>2.8039999999999998</v>
      </c>
      <c r="H163" s="23">
        <v>2.8170000000000002</v>
      </c>
      <c r="I163" s="23">
        <v>2.8359999999999999</v>
      </c>
      <c r="J163" s="23">
        <v>2.8559999999999999</v>
      </c>
      <c r="K163" s="23">
        <v>2.8780000000000001</v>
      </c>
    </row>
    <row r="164" spans="1:11" x14ac:dyDescent="0.2">
      <c r="A164" s="1">
        <v>43445</v>
      </c>
      <c r="B164" s="23">
        <v>2.8690000000000002</v>
      </c>
      <c r="C164" s="23">
        <v>2.8730000000000002</v>
      </c>
      <c r="D164" s="23">
        <v>2.84</v>
      </c>
      <c r="E164" s="23">
        <v>2.823</v>
      </c>
      <c r="F164" s="23">
        <v>2.8180000000000001</v>
      </c>
      <c r="G164" s="23">
        <v>2.8239999999999998</v>
      </c>
      <c r="H164" s="23">
        <v>2.8359999999999999</v>
      </c>
      <c r="I164" s="23">
        <v>2.8530000000000002</v>
      </c>
      <c r="J164" s="23">
        <v>2.8730000000000002</v>
      </c>
      <c r="K164" s="23">
        <v>2.8929999999999998</v>
      </c>
    </row>
    <row r="165" spans="1:11" x14ac:dyDescent="0.2">
      <c r="A165" s="1">
        <v>43447</v>
      </c>
      <c r="B165" s="23">
        <v>2.8780000000000001</v>
      </c>
      <c r="C165" s="23">
        <v>2.9009999999999998</v>
      </c>
      <c r="D165" s="23">
        <v>2.8759999999999999</v>
      </c>
      <c r="E165" s="23">
        <v>2.8620000000000001</v>
      </c>
      <c r="F165" s="23">
        <v>2.859</v>
      </c>
      <c r="G165" s="23">
        <v>2.867</v>
      </c>
      <c r="H165" s="23">
        <v>2.88</v>
      </c>
      <c r="I165" s="23">
        <v>2.899</v>
      </c>
      <c r="J165" s="23">
        <v>2.92</v>
      </c>
      <c r="K165" s="23">
        <v>2.9409999999999998</v>
      </c>
    </row>
    <row r="166" spans="1:11" x14ac:dyDescent="0.2">
      <c r="A166" s="1">
        <v>43448</v>
      </c>
      <c r="B166" s="23">
        <v>2.8650000000000002</v>
      </c>
      <c r="C166" s="23">
        <v>2.883</v>
      </c>
      <c r="D166" s="23">
        <v>2.8559999999999999</v>
      </c>
      <c r="E166" s="23">
        <v>2.84</v>
      </c>
      <c r="F166" s="23">
        <v>2.8380000000000001</v>
      </c>
      <c r="G166" s="23">
        <v>2.8479999999999999</v>
      </c>
      <c r="H166" s="23">
        <v>2.8639999999999999</v>
      </c>
      <c r="I166" s="23">
        <v>2.8839999999999999</v>
      </c>
      <c r="J166" s="23">
        <v>2.9060000000000001</v>
      </c>
      <c r="K166" s="23">
        <v>2.9279999999999999</v>
      </c>
    </row>
    <row r="167" spans="1:11" x14ac:dyDescent="0.2">
      <c r="A167" s="1">
        <v>43451</v>
      </c>
      <c r="B167" s="23">
        <v>2.843</v>
      </c>
      <c r="C167" s="23">
        <v>2.863</v>
      </c>
      <c r="D167" s="23">
        <v>2.831</v>
      </c>
      <c r="E167" s="23">
        <v>2.8159999999999998</v>
      </c>
      <c r="F167" s="23">
        <v>2.8140000000000001</v>
      </c>
      <c r="G167" s="23">
        <v>2.823</v>
      </c>
      <c r="H167" s="23">
        <v>2.839</v>
      </c>
      <c r="I167" s="23">
        <v>2.859</v>
      </c>
      <c r="J167" s="23">
        <v>2.8809999999999998</v>
      </c>
      <c r="K167" s="23">
        <v>2.903</v>
      </c>
    </row>
    <row r="168" spans="1:11" x14ac:dyDescent="0.2">
      <c r="A168" s="1">
        <v>43452</v>
      </c>
      <c r="B168" s="23">
        <v>2.8050000000000002</v>
      </c>
      <c r="C168" s="23">
        <v>2.8050000000000002</v>
      </c>
      <c r="D168" s="23">
        <v>2.7719999999999998</v>
      </c>
      <c r="E168" s="23">
        <v>2.7610000000000001</v>
      </c>
      <c r="F168" s="23">
        <v>2.7639999999999998</v>
      </c>
      <c r="G168" s="23">
        <v>2.7759999999999998</v>
      </c>
      <c r="H168" s="23">
        <v>2.7949999999999999</v>
      </c>
      <c r="I168" s="23">
        <v>2.8180000000000001</v>
      </c>
      <c r="J168" s="23">
        <v>2.8410000000000002</v>
      </c>
      <c r="K168" s="23">
        <v>2.8650000000000002</v>
      </c>
    </row>
    <row r="169" spans="1:11" x14ac:dyDescent="0.2">
      <c r="A169" s="1">
        <v>43472</v>
      </c>
      <c r="B169" s="23">
        <v>2.7519999999999998</v>
      </c>
      <c r="C169" s="23">
        <v>2.653</v>
      </c>
      <c r="D169" s="23">
        <v>2.5859999999999999</v>
      </c>
      <c r="E169" s="23">
        <v>2.5619999999999998</v>
      </c>
      <c r="F169" s="23">
        <v>2.5659999999999998</v>
      </c>
      <c r="G169" s="23">
        <v>2.5819999999999999</v>
      </c>
      <c r="H169" s="23">
        <v>2.6040000000000001</v>
      </c>
      <c r="I169" s="23">
        <v>2.63</v>
      </c>
      <c r="J169" s="23">
        <v>2.657</v>
      </c>
      <c r="K169" s="23">
        <v>2.6859999999999999</v>
      </c>
    </row>
    <row r="170" spans="1:11" x14ac:dyDescent="0.2">
      <c r="A170" s="1">
        <v>43474</v>
      </c>
      <c r="B170" s="23">
        <v>2.7749999999999999</v>
      </c>
      <c r="C170" s="23">
        <v>2.7109999999999999</v>
      </c>
      <c r="D170" s="23">
        <v>2.653</v>
      </c>
      <c r="E170" s="23">
        <v>2.629</v>
      </c>
      <c r="F170" s="23">
        <v>2.6309999999999998</v>
      </c>
      <c r="G170" s="23">
        <v>2.645</v>
      </c>
      <c r="H170" s="23">
        <v>2.6659999999999999</v>
      </c>
      <c r="I170" s="23">
        <v>2.69</v>
      </c>
      <c r="J170" s="23">
        <v>2.7170000000000001</v>
      </c>
      <c r="K170" s="23">
        <v>2.7429999999999999</v>
      </c>
    </row>
    <row r="171" spans="1:11" x14ac:dyDescent="0.2">
      <c r="A171" s="1">
        <v>43475</v>
      </c>
      <c r="B171" s="23">
        <v>2.78</v>
      </c>
      <c r="C171" s="23">
        <v>2.7</v>
      </c>
      <c r="D171" s="23">
        <v>2.64</v>
      </c>
      <c r="E171" s="23">
        <v>2.62</v>
      </c>
      <c r="F171" s="23">
        <v>2.6230000000000002</v>
      </c>
      <c r="G171" s="23">
        <v>2.64</v>
      </c>
      <c r="H171" s="23">
        <v>2.6619999999999999</v>
      </c>
      <c r="I171" s="23">
        <v>2.6859999999999999</v>
      </c>
      <c r="J171" s="23">
        <v>2.7130000000000001</v>
      </c>
      <c r="K171" s="23">
        <v>2.7410000000000001</v>
      </c>
    </row>
    <row r="172" spans="1:11" x14ac:dyDescent="0.2">
      <c r="A172" s="1">
        <v>43479</v>
      </c>
      <c r="B172" s="23">
        <v>2.766</v>
      </c>
      <c r="C172" s="23">
        <v>2.698</v>
      </c>
      <c r="D172" s="23">
        <v>2.6379999999999999</v>
      </c>
      <c r="E172" s="23">
        <v>2.6139999999999999</v>
      </c>
      <c r="F172" s="23">
        <v>2.6160000000000001</v>
      </c>
      <c r="G172" s="23">
        <v>2.63</v>
      </c>
      <c r="H172" s="23">
        <v>2.65</v>
      </c>
      <c r="I172" s="23">
        <v>2.6749999999999998</v>
      </c>
      <c r="J172" s="23">
        <v>2.7010000000000001</v>
      </c>
      <c r="K172" s="23">
        <v>2.7280000000000002</v>
      </c>
    </row>
    <row r="173" spans="1:11" x14ac:dyDescent="0.2">
      <c r="A173" s="1">
        <v>43481</v>
      </c>
      <c r="B173" s="23">
        <v>2.7679999999999998</v>
      </c>
      <c r="C173" s="23">
        <v>2.718</v>
      </c>
      <c r="D173" s="23">
        <v>2.6629999999999998</v>
      </c>
      <c r="E173" s="23">
        <v>2.641</v>
      </c>
      <c r="F173" s="23">
        <v>2.6440000000000001</v>
      </c>
      <c r="G173" s="23">
        <v>2.6589999999999998</v>
      </c>
      <c r="H173" s="23">
        <v>2.6789999999999998</v>
      </c>
      <c r="I173" s="23">
        <v>2.7040000000000002</v>
      </c>
      <c r="J173" s="23">
        <v>2.73</v>
      </c>
      <c r="K173" s="23">
        <v>2.758</v>
      </c>
    </row>
    <row r="174" spans="1:11" x14ac:dyDescent="0.2">
      <c r="A174" s="1">
        <v>43487</v>
      </c>
      <c r="B174" s="23">
        <v>2.7749999999999999</v>
      </c>
      <c r="C174" s="23">
        <v>2.742</v>
      </c>
      <c r="D174" s="23">
        <v>2.6920000000000002</v>
      </c>
      <c r="E174" s="23">
        <v>2.6709999999999998</v>
      </c>
      <c r="F174" s="23">
        <v>2.6739999999999999</v>
      </c>
      <c r="G174" s="23">
        <v>2.6890000000000001</v>
      </c>
      <c r="H174" s="23">
        <v>2.71</v>
      </c>
      <c r="I174" s="23">
        <v>2.734</v>
      </c>
      <c r="J174" s="23">
        <v>2.76</v>
      </c>
      <c r="K174" s="23">
        <v>2.786</v>
      </c>
    </row>
    <row r="175" spans="1:11" x14ac:dyDescent="0.2">
      <c r="A175" s="1">
        <v>43488</v>
      </c>
      <c r="B175" s="23">
        <v>2.7829999999999999</v>
      </c>
      <c r="C175" s="23">
        <v>2.74</v>
      </c>
      <c r="D175" s="23">
        <v>2.6880000000000002</v>
      </c>
      <c r="E175" s="23">
        <v>2.665</v>
      </c>
      <c r="F175" s="23">
        <v>2.6680000000000001</v>
      </c>
      <c r="G175" s="23">
        <v>2.6840000000000002</v>
      </c>
      <c r="H175" s="23">
        <v>2.7050000000000001</v>
      </c>
      <c r="I175" s="23">
        <v>2.73</v>
      </c>
      <c r="J175" s="23">
        <v>2.7559999999999998</v>
      </c>
      <c r="K175" s="23">
        <v>2.782</v>
      </c>
    </row>
    <row r="176" spans="1:11" x14ac:dyDescent="0.2">
      <c r="A176" s="1">
        <v>43489</v>
      </c>
      <c r="B176" s="23">
        <v>2.7709999999999999</v>
      </c>
      <c r="C176" s="23">
        <v>2.7189999999999999</v>
      </c>
      <c r="D176" s="23">
        <v>2.66</v>
      </c>
      <c r="E176" s="23">
        <v>2.6320000000000001</v>
      </c>
      <c r="F176" s="23">
        <v>2.633</v>
      </c>
      <c r="G176" s="23">
        <v>2.649</v>
      </c>
      <c r="H176" s="23">
        <v>2.67</v>
      </c>
      <c r="I176" s="23">
        <v>2.6949999999999998</v>
      </c>
      <c r="J176" s="23">
        <v>2.7210000000000001</v>
      </c>
      <c r="K176" s="23">
        <v>2.7480000000000002</v>
      </c>
    </row>
    <row r="177" spans="1:11" x14ac:dyDescent="0.2">
      <c r="A177" s="1">
        <v>43493</v>
      </c>
      <c r="B177" s="23">
        <v>2.766</v>
      </c>
      <c r="C177" s="23">
        <v>2.734</v>
      </c>
      <c r="D177" s="23">
        <v>2.6840000000000002</v>
      </c>
      <c r="E177" s="23">
        <v>2.6589999999999998</v>
      </c>
      <c r="F177" s="23">
        <v>2.6619999999999999</v>
      </c>
      <c r="G177" s="23">
        <v>2.677</v>
      </c>
      <c r="H177" s="23">
        <v>2.6970000000000001</v>
      </c>
      <c r="I177" s="23">
        <v>2.72</v>
      </c>
      <c r="J177" s="23">
        <v>2.746</v>
      </c>
      <c r="K177" s="23">
        <v>2.7709999999999999</v>
      </c>
    </row>
    <row r="178" spans="1:11" x14ac:dyDescent="0.2">
      <c r="A178" s="1">
        <v>43494</v>
      </c>
      <c r="B178" s="23">
        <v>2.7559999999999998</v>
      </c>
      <c r="C178" s="23">
        <v>2.7090000000000001</v>
      </c>
      <c r="D178" s="23">
        <v>2.657</v>
      </c>
      <c r="E178" s="23">
        <v>2.6309999999999998</v>
      </c>
      <c r="F178" s="23">
        <v>2.6339999999999999</v>
      </c>
      <c r="G178" s="23">
        <v>2.65</v>
      </c>
      <c r="H178" s="23">
        <v>2.67</v>
      </c>
      <c r="I178" s="23">
        <v>2.6960000000000002</v>
      </c>
      <c r="J178" s="23">
        <v>2.7229999999999999</v>
      </c>
      <c r="K178" s="23">
        <v>2.75</v>
      </c>
    </row>
    <row r="179" spans="1:11" x14ac:dyDescent="0.2">
      <c r="A179" s="1">
        <v>43495</v>
      </c>
      <c r="B179" s="23">
        <v>2.7349999999999999</v>
      </c>
      <c r="C179" s="23">
        <v>2.722</v>
      </c>
      <c r="D179" s="23">
        <v>2.6680000000000001</v>
      </c>
      <c r="E179" s="23">
        <v>2.6429999999999998</v>
      </c>
      <c r="F179" s="23">
        <v>2.645</v>
      </c>
      <c r="G179" s="23">
        <v>2.661</v>
      </c>
      <c r="H179" s="23">
        <v>2.681</v>
      </c>
      <c r="I179" s="23">
        <v>2.7050000000000001</v>
      </c>
      <c r="J179" s="23">
        <v>2.7309999999999999</v>
      </c>
      <c r="K179" s="23">
        <v>2.7570000000000001</v>
      </c>
    </row>
    <row r="180" spans="1:11" x14ac:dyDescent="0.2">
      <c r="A180" s="1">
        <v>43496</v>
      </c>
      <c r="B180" s="23">
        <v>2.6949999999999998</v>
      </c>
      <c r="C180" s="23">
        <v>2.6269999999999998</v>
      </c>
      <c r="D180" s="23">
        <v>2.569</v>
      </c>
      <c r="E180" s="23">
        <v>2.5449999999999999</v>
      </c>
      <c r="F180" s="23">
        <v>2.5499999999999998</v>
      </c>
      <c r="G180" s="23">
        <v>2.569</v>
      </c>
      <c r="H180" s="23">
        <v>2.5910000000000002</v>
      </c>
      <c r="I180" s="23">
        <v>2.6179999999999999</v>
      </c>
      <c r="J180" s="23">
        <v>2.6459999999999999</v>
      </c>
      <c r="K180" s="23">
        <v>2.6739999999999999</v>
      </c>
    </row>
    <row r="181" spans="1:11" x14ac:dyDescent="0.2">
      <c r="A181" s="1">
        <v>43497</v>
      </c>
      <c r="B181" s="23">
        <v>2.714</v>
      </c>
      <c r="C181" s="23">
        <v>2.6549999999999998</v>
      </c>
      <c r="D181" s="23">
        <v>2.6040000000000001</v>
      </c>
      <c r="E181" s="23">
        <v>2.5870000000000002</v>
      </c>
      <c r="F181" s="23">
        <v>2.59</v>
      </c>
      <c r="G181" s="23">
        <v>2.6080000000000001</v>
      </c>
      <c r="H181" s="23">
        <v>2.63</v>
      </c>
      <c r="I181" s="23">
        <v>2.6549999999999998</v>
      </c>
      <c r="J181" s="23">
        <v>2.6819999999999999</v>
      </c>
      <c r="K181" s="23">
        <v>2.71</v>
      </c>
    </row>
    <row r="182" spans="1:11" x14ac:dyDescent="0.2">
      <c r="A182" s="1">
        <v>43500</v>
      </c>
      <c r="B182" s="23">
        <v>2.726</v>
      </c>
      <c r="C182" s="23">
        <v>2.6760000000000002</v>
      </c>
      <c r="D182" s="23">
        <v>2.6320000000000001</v>
      </c>
      <c r="E182" s="23">
        <v>2.617</v>
      </c>
      <c r="F182" s="23">
        <v>2.6269999999999998</v>
      </c>
      <c r="G182" s="23">
        <v>2.6469999999999998</v>
      </c>
      <c r="H182" s="23">
        <v>2.6709999999999998</v>
      </c>
      <c r="I182" s="23">
        <v>2.698</v>
      </c>
      <c r="J182" s="23">
        <v>2.726</v>
      </c>
      <c r="K182" s="23">
        <v>2.754</v>
      </c>
    </row>
    <row r="183" spans="1:11" x14ac:dyDescent="0.2">
      <c r="A183" s="1">
        <v>43501</v>
      </c>
      <c r="B183" s="23">
        <v>2.7280000000000002</v>
      </c>
      <c r="C183" s="23">
        <v>2.6709999999999998</v>
      </c>
      <c r="D183" s="23">
        <v>2.6190000000000002</v>
      </c>
      <c r="E183" s="23">
        <v>2.5979999999999999</v>
      </c>
      <c r="F183" s="23">
        <v>2.6030000000000002</v>
      </c>
      <c r="G183" s="23">
        <v>2.621</v>
      </c>
      <c r="H183" s="23">
        <v>2.6419999999999999</v>
      </c>
      <c r="I183" s="23">
        <v>2.6680000000000001</v>
      </c>
      <c r="J183" s="23">
        <v>2.6949999999999998</v>
      </c>
      <c r="K183" s="23">
        <v>2.722</v>
      </c>
    </row>
    <row r="184" spans="1:11" x14ac:dyDescent="0.2">
      <c r="A184" s="1">
        <v>43502</v>
      </c>
      <c r="B184" s="23">
        <v>2.738</v>
      </c>
      <c r="C184" s="23">
        <v>2.6659999999999999</v>
      </c>
      <c r="D184" s="23">
        <v>2.61</v>
      </c>
      <c r="E184" s="23">
        <v>2.5880000000000001</v>
      </c>
      <c r="F184" s="23">
        <v>2.5910000000000002</v>
      </c>
      <c r="G184" s="23">
        <v>2.61</v>
      </c>
      <c r="H184" s="23">
        <v>2.6320000000000001</v>
      </c>
      <c r="I184" s="23">
        <v>2.6589999999999998</v>
      </c>
      <c r="J184" s="23">
        <v>2.6869999999999998</v>
      </c>
      <c r="K184" s="23">
        <v>2.7149999999999999</v>
      </c>
    </row>
    <row r="185" spans="1:11" x14ac:dyDescent="0.2">
      <c r="A185" s="1">
        <v>43503</v>
      </c>
      <c r="B185" s="23">
        <v>2.7010000000000001</v>
      </c>
      <c r="C185" s="23">
        <v>2.629</v>
      </c>
      <c r="D185" s="23">
        <v>2.573</v>
      </c>
      <c r="E185" s="23">
        <v>2.5529999999999999</v>
      </c>
      <c r="F185" s="23">
        <v>2.5590000000000002</v>
      </c>
      <c r="G185" s="23">
        <v>2.5779999999999998</v>
      </c>
      <c r="H185" s="23">
        <v>2.6019999999999999</v>
      </c>
      <c r="I185" s="23">
        <v>2.629</v>
      </c>
      <c r="J185" s="23">
        <v>2.657</v>
      </c>
      <c r="K185" s="23">
        <v>2.6859999999999999</v>
      </c>
    </row>
    <row r="186" spans="1:11" x14ac:dyDescent="0.2">
      <c r="A186" s="1">
        <v>43507</v>
      </c>
      <c r="B186" s="23">
        <v>2.6949999999999998</v>
      </c>
      <c r="C186" s="23">
        <v>2.6240000000000001</v>
      </c>
      <c r="D186" s="23">
        <v>2.569</v>
      </c>
      <c r="E186" s="23">
        <v>2.5499999999999998</v>
      </c>
      <c r="F186" s="23">
        <v>2.5550000000000002</v>
      </c>
      <c r="G186" s="23">
        <v>2.573</v>
      </c>
      <c r="H186" s="23">
        <v>2.5960000000000001</v>
      </c>
      <c r="I186" s="23">
        <v>2.6230000000000002</v>
      </c>
      <c r="J186" s="23">
        <v>2.6509999999999998</v>
      </c>
      <c r="K186" s="23">
        <v>2.6789999999999998</v>
      </c>
    </row>
    <row r="187" spans="1:11" x14ac:dyDescent="0.2">
      <c r="A187" s="1">
        <v>43508</v>
      </c>
      <c r="B187" s="23">
        <v>2.7040000000000002</v>
      </c>
      <c r="C187" s="23">
        <v>2.6389999999999998</v>
      </c>
      <c r="D187" s="23">
        <v>2.5880000000000001</v>
      </c>
      <c r="E187" s="23">
        <v>2.5710000000000002</v>
      </c>
      <c r="F187" s="23">
        <v>2.5790000000000002</v>
      </c>
      <c r="G187" s="23">
        <v>2.5979999999999999</v>
      </c>
      <c r="H187" s="23">
        <v>2.6219999999999999</v>
      </c>
      <c r="I187" s="23">
        <v>2.649</v>
      </c>
      <c r="J187" s="23">
        <v>2.6779999999999999</v>
      </c>
      <c r="K187" s="23">
        <v>2.7069999999999999</v>
      </c>
    </row>
    <row r="188" spans="1:11" x14ac:dyDescent="0.2">
      <c r="A188" s="1">
        <v>43510</v>
      </c>
      <c r="B188" s="23">
        <v>2.7</v>
      </c>
      <c r="C188" s="23">
        <v>2.637</v>
      </c>
      <c r="D188" s="23">
        <v>2.58</v>
      </c>
      <c r="E188" s="23">
        <v>2.5590000000000002</v>
      </c>
      <c r="F188" s="23">
        <v>2.5609999999999999</v>
      </c>
      <c r="G188" s="23">
        <v>2.5790000000000002</v>
      </c>
      <c r="H188" s="23">
        <v>2.6019999999999999</v>
      </c>
      <c r="I188" s="23">
        <v>2.6280000000000001</v>
      </c>
      <c r="J188" s="23">
        <v>2.6629999999999998</v>
      </c>
      <c r="K188" s="23">
        <v>2.6869999999999998</v>
      </c>
    </row>
    <row r="189" spans="1:11" x14ac:dyDescent="0.2">
      <c r="A189" s="1">
        <v>43511</v>
      </c>
      <c r="B189" s="23">
        <v>2.7050000000000001</v>
      </c>
      <c r="C189" s="23">
        <v>2.653</v>
      </c>
      <c r="D189" s="23">
        <v>2.6</v>
      </c>
      <c r="E189" s="23">
        <v>2.5790000000000002</v>
      </c>
      <c r="F189" s="23">
        <v>2.5830000000000002</v>
      </c>
      <c r="G189" s="23">
        <v>2.5990000000000002</v>
      </c>
      <c r="H189" s="23">
        <v>2.621</v>
      </c>
      <c r="I189" s="23">
        <v>2.6469999999999998</v>
      </c>
      <c r="J189" s="23">
        <v>2.6749999999999998</v>
      </c>
      <c r="K189" s="23">
        <v>2.702</v>
      </c>
    </row>
    <row r="190" spans="1:11" x14ac:dyDescent="0.2">
      <c r="A190" s="1">
        <v>43515</v>
      </c>
      <c r="B190" s="23">
        <v>2.6739999999999999</v>
      </c>
      <c r="C190" s="23">
        <v>2.6150000000000002</v>
      </c>
      <c r="D190" s="23">
        <v>2.5590000000000002</v>
      </c>
      <c r="E190" s="23">
        <v>2.5369999999999999</v>
      </c>
      <c r="F190" s="23">
        <v>2.54</v>
      </c>
      <c r="G190" s="23">
        <v>2.5569999999999999</v>
      </c>
      <c r="H190" s="23">
        <v>2.5790000000000002</v>
      </c>
      <c r="I190" s="23">
        <v>2.605</v>
      </c>
      <c r="J190" s="23">
        <v>2.633</v>
      </c>
      <c r="K190" s="23">
        <v>2.661</v>
      </c>
    </row>
    <row r="191" spans="1:11" x14ac:dyDescent="0.2">
      <c r="A191" s="1">
        <v>43516</v>
      </c>
      <c r="B191" s="23">
        <v>2.669</v>
      </c>
      <c r="C191" s="23">
        <v>2.6120000000000001</v>
      </c>
      <c r="D191" s="23">
        <v>2.56</v>
      </c>
      <c r="E191" s="23">
        <v>2.5419999999999998</v>
      </c>
      <c r="F191" s="23">
        <v>2.5459999999999998</v>
      </c>
      <c r="G191" s="23">
        <v>2.5649999999999999</v>
      </c>
      <c r="H191" s="23">
        <v>2.59</v>
      </c>
      <c r="I191" s="23">
        <v>2.617</v>
      </c>
      <c r="J191" s="23">
        <v>2.6459999999999999</v>
      </c>
      <c r="K191" s="23">
        <v>2.6760000000000002</v>
      </c>
    </row>
    <row r="192" spans="1:11" x14ac:dyDescent="0.2">
      <c r="A192" s="1">
        <v>43517</v>
      </c>
      <c r="B192" s="23">
        <v>2.673</v>
      </c>
      <c r="C192" s="23">
        <v>2.629</v>
      </c>
      <c r="D192" s="23">
        <v>2.5840000000000001</v>
      </c>
      <c r="E192" s="23">
        <v>2.569</v>
      </c>
      <c r="F192" s="23">
        <v>2.5750000000000002</v>
      </c>
      <c r="G192" s="23">
        <v>2.5939999999999999</v>
      </c>
      <c r="H192" s="23">
        <v>2.6179999999999999</v>
      </c>
      <c r="I192" s="23">
        <v>2.6459999999999999</v>
      </c>
      <c r="J192" s="23">
        <v>2.6749999999999998</v>
      </c>
      <c r="K192" s="23">
        <v>2.7050000000000001</v>
      </c>
    </row>
    <row r="193" spans="1:11" x14ac:dyDescent="0.2">
      <c r="A193" s="1">
        <v>43518</v>
      </c>
      <c r="B193" s="23">
        <v>2.66</v>
      </c>
      <c r="C193" s="23">
        <v>2.6070000000000002</v>
      </c>
      <c r="D193" s="23">
        <v>2.5550000000000002</v>
      </c>
      <c r="E193" s="23">
        <v>2.5379999999999998</v>
      </c>
      <c r="F193" s="23">
        <v>2.5419999999999998</v>
      </c>
      <c r="G193" s="23">
        <v>2.5619999999999998</v>
      </c>
      <c r="H193" s="23">
        <v>2.585</v>
      </c>
      <c r="I193" s="23">
        <v>2.613</v>
      </c>
      <c r="J193" s="23">
        <v>2.6429999999999998</v>
      </c>
      <c r="K193" s="23">
        <v>2.6720000000000002</v>
      </c>
    </row>
    <row r="194" spans="1:11" x14ac:dyDescent="0.2">
      <c r="A194" s="1">
        <v>43521</v>
      </c>
      <c r="B194" s="23">
        <v>2.6629999999999998</v>
      </c>
      <c r="C194" s="23">
        <v>2.6030000000000002</v>
      </c>
      <c r="D194" s="23">
        <v>2.5529999999999999</v>
      </c>
      <c r="E194" s="23">
        <v>2.536</v>
      </c>
      <c r="F194" s="23">
        <v>2.544</v>
      </c>
      <c r="G194" s="23">
        <v>2.5659999999999998</v>
      </c>
      <c r="H194" s="23">
        <v>2.5920000000000001</v>
      </c>
      <c r="I194" s="23">
        <v>2.6219999999999999</v>
      </c>
      <c r="J194" s="23">
        <v>2.6539999999999999</v>
      </c>
      <c r="K194" s="23">
        <v>2.6850000000000001</v>
      </c>
    </row>
    <row r="195" spans="1:11" x14ac:dyDescent="0.2">
      <c r="A195" s="1">
        <v>43522</v>
      </c>
      <c r="B195" s="23">
        <v>2.6480000000000001</v>
      </c>
      <c r="C195" s="23">
        <v>2.5779999999999998</v>
      </c>
      <c r="D195" s="23">
        <v>2.5209999999999999</v>
      </c>
      <c r="E195" s="23">
        <v>2.5049999999999999</v>
      </c>
      <c r="F195" s="23">
        <v>2.512</v>
      </c>
      <c r="G195" s="23">
        <v>2.5339999999999998</v>
      </c>
      <c r="H195" s="23">
        <v>2.5590000000000002</v>
      </c>
      <c r="I195" s="23">
        <v>2.5880000000000001</v>
      </c>
      <c r="J195" s="23">
        <v>2.6190000000000002</v>
      </c>
      <c r="K195" s="23">
        <v>2.6509999999999998</v>
      </c>
    </row>
    <row r="196" spans="1:11" x14ac:dyDescent="0.2">
      <c r="A196" s="1">
        <v>43523</v>
      </c>
      <c r="B196" s="23">
        <v>2.661</v>
      </c>
      <c r="C196" s="23">
        <v>2.585</v>
      </c>
      <c r="D196" s="23">
        <v>2.5350000000000001</v>
      </c>
      <c r="E196" s="23">
        <v>2.5209999999999999</v>
      </c>
      <c r="F196" s="23">
        <v>2.5339999999999998</v>
      </c>
      <c r="G196" s="23">
        <v>2.5579999999999998</v>
      </c>
      <c r="H196" s="23">
        <v>2.5859999999999999</v>
      </c>
      <c r="I196" s="23">
        <v>2.62</v>
      </c>
      <c r="J196" s="23">
        <v>2.6539999999999999</v>
      </c>
      <c r="K196" s="23">
        <v>2.6869999999999998</v>
      </c>
    </row>
    <row r="197" spans="1:11" x14ac:dyDescent="0.2">
      <c r="A197" s="1">
        <v>43524</v>
      </c>
      <c r="B197" s="23">
        <v>2.6659999999999999</v>
      </c>
      <c r="C197" s="23">
        <v>2.6190000000000002</v>
      </c>
      <c r="D197" s="23">
        <v>2.5760000000000001</v>
      </c>
      <c r="E197" s="23">
        <v>2.5649999999999999</v>
      </c>
      <c r="F197" s="23">
        <v>2.577</v>
      </c>
      <c r="G197" s="23">
        <v>2.601</v>
      </c>
      <c r="H197" s="23">
        <v>2.629</v>
      </c>
      <c r="I197" s="23">
        <v>2.661</v>
      </c>
      <c r="J197" s="23">
        <v>2.694</v>
      </c>
      <c r="K197" s="23">
        <v>2.7269999999999999</v>
      </c>
    </row>
    <row r="198" spans="1:11" x14ac:dyDescent="0.2">
      <c r="A198" s="1">
        <v>43525</v>
      </c>
      <c r="B198" s="23">
        <v>2.6779999999999999</v>
      </c>
      <c r="C198" s="23">
        <v>2.63</v>
      </c>
      <c r="D198" s="23">
        <v>2.589</v>
      </c>
      <c r="E198" s="23">
        <v>2.5760000000000001</v>
      </c>
      <c r="F198" s="23">
        <v>2.5880000000000001</v>
      </c>
      <c r="G198" s="23">
        <v>2.613</v>
      </c>
      <c r="H198" s="23">
        <v>2.6429999999999998</v>
      </c>
      <c r="I198" s="23">
        <v>2.6760000000000002</v>
      </c>
      <c r="J198" s="23">
        <v>2.71</v>
      </c>
      <c r="K198" s="23">
        <v>2.7440000000000002</v>
      </c>
    </row>
    <row r="199" spans="1:11" x14ac:dyDescent="0.2">
      <c r="A199" s="1">
        <v>43528</v>
      </c>
      <c r="B199" s="23">
        <v>2.6779999999999999</v>
      </c>
      <c r="C199" s="23">
        <v>2.64</v>
      </c>
      <c r="D199" s="23">
        <v>2.5990000000000002</v>
      </c>
      <c r="E199" s="23">
        <v>2.5840000000000001</v>
      </c>
      <c r="F199" s="23">
        <v>2.5939999999999999</v>
      </c>
      <c r="G199" s="23">
        <v>2.6179999999999999</v>
      </c>
      <c r="H199" s="23">
        <v>2.6459999999999999</v>
      </c>
      <c r="I199" s="23">
        <v>2.6779999999999999</v>
      </c>
      <c r="J199" s="23">
        <v>2.7109999999999999</v>
      </c>
      <c r="K199" s="23">
        <v>2.742</v>
      </c>
    </row>
    <row r="200" spans="1:11" x14ac:dyDescent="0.2">
      <c r="A200" s="1">
        <v>43529</v>
      </c>
      <c r="B200" s="23">
        <v>2.6890000000000001</v>
      </c>
      <c r="C200" s="23">
        <v>2.6549999999999998</v>
      </c>
      <c r="D200" s="23">
        <v>2.6120000000000001</v>
      </c>
      <c r="E200" s="23">
        <v>2.5939999999999999</v>
      </c>
      <c r="F200" s="23">
        <v>2.601</v>
      </c>
      <c r="G200" s="23">
        <v>2.6240000000000001</v>
      </c>
      <c r="H200" s="23">
        <v>2.6509999999999998</v>
      </c>
      <c r="I200" s="23">
        <v>2.6819999999999999</v>
      </c>
      <c r="J200" s="23">
        <v>2.7130000000000001</v>
      </c>
      <c r="K200" s="23">
        <v>2.7450000000000001</v>
      </c>
    </row>
    <row r="201" spans="1:11" x14ac:dyDescent="0.2">
      <c r="A201" s="1">
        <v>43530</v>
      </c>
      <c r="B201" s="23">
        <v>2.6760000000000002</v>
      </c>
      <c r="C201" s="23">
        <v>2.633</v>
      </c>
      <c r="D201" s="23">
        <v>2.585</v>
      </c>
      <c r="E201" s="23">
        <v>2.5649999999999999</v>
      </c>
      <c r="F201" s="23">
        <v>2.57</v>
      </c>
      <c r="G201" s="23">
        <v>2.5920000000000001</v>
      </c>
      <c r="H201" s="23">
        <v>2.62</v>
      </c>
      <c r="I201" s="23">
        <v>2.6520000000000001</v>
      </c>
      <c r="J201" s="23">
        <v>2.6850000000000001</v>
      </c>
      <c r="K201" s="23">
        <v>2.7170000000000001</v>
      </c>
    </row>
    <row r="202" spans="1:11" x14ac:dyDescent="0.2">
      <c r="A202" s="1">
        <v>43531</v>
      </c>
      <c r="B202" s="23">
        <v>2.661</v>
      </c>
      <c r="C202" s="23">
        <v>2.6019999999999999</v>
      </c>
      <c r="D202" s="23">
        <v>2.5449999999999999</v>
      </c>
      <c r="E202" s="23">
        <v>2.5209999999999999</v>
      </c>
      <c r="F202" s="23">
        <v>2.524</v>
      </c>
      <c r="G202" s="23">
        <v>2.5459999999999998</v>
      </c>
      <c r="H202" s="23">
        <v>2.573</v>
      </c>
      <c r="I202" s="23">
        <v>2.6040000000000001</v>
      </c>
      <c r="J202" s="23">
        <v>2.6379999999999999</v>
      </c>
      <c r="K202" s="23">
        <v>2.67</v>
      </c>
    </row>
    <row r="203" spans="1:11" x14ac:dyDescent="0.2">
      <c r="A203" s="1">
        <v>43535</v>
      </c>
      <c r="B203" s="23">
        <v>2.669</v>
      </c>
      <c r="C203" s="23">
        <v>2.601</v>
      </c>
      <c r="D203" s="23">
        <v>2.5409999999999999</v>
      </c>
      <c r="E203" s="23">
        <v>2.5150000000000001</v>
      </c>
      <c r="F203" s="23">
        <v>2.516</v>
      </c>
      <c r="G203" s="23">
        <v>2.5369999999999999</v>
      </c>
      <c r="H203" s="23">
        <v>2.5640000000000001</v>
      </c>
      <c r="I203" s="23">
        <v>2.5950000000000002</v>
      </c>
      <c r="J203" s="23">
        <v>2.629</v>
      </c>
      <c r="K203" s="23">
        <v>2.661</v>
      </c>
    </row>
    <row r="204" spans="1:11" x14ac:dyDescent="0.2">
      <c r="A204" s="1">
        <v>43536</v>
      </c>
      <c r="B204" s="23">
        <v>2.6480000000000001</v>
      </c>
      <c r="C204" s="23">
        <v>2.581</v>
      </c>
      <c r="D204" s="23">
        <v>2.52</v>
      </c>
      <c r="E204" s="23">
        <v>2.496</v>
      </c>
      <c r="F204" s="23">
        <v>2.4980000000000002</v>
      </c>
      <c r="G204" s="23">
        <v>2.5179999999999998</v>
      </c>
      <c r="H204" s="23">
        <v>2.5459999999999998</v>
      </c>
      <c r="I204" s="23">
        <v>2.577</v>
      </c>
      <c r="J204" s="23">
        <v>2.6110000000000002</v>
      </c>
      <c r="K204" s="23">
        <v>2.6429999999999998</v>
      </c>
    </row>
    <row r="205" spans="1:11" x14ac:dyDescent="0.2">
      <c r="A205" s="1">
        <v>43537</v>
      </c>
      <c r="B205" s="23">
        <v>2.6480000000000001</v>
      </c>
      <c r="C205" s="23">
        <v>2.5779999999999998</v>
      </c>
      <c r="D205" s="23">
        <v>2.5150000000000001</v>
      </c>
      <c r="E205" s="23">
        <v>2.4900000000000002</v>
      </c>
      <c r="F205" s="23">
        <v>2.4889999999999999</v>
      </c>
      <c r="G205" s="23">
        <v>2.508</v>
      </c>
      <c r="H205" s="23">
        <v>2.532</v>
      </c>
      <c r="I205" s="23">
        <v>2.5630000000000002</v>
      </c>
      <c r="J205" s="23">
        <v>2.5950000000000002</v>
      </c>
      <c r="K205" s="23">
        <v>2.6259999999999999</v>
      </c>
    </row>
    <row r="206" spans="1:11" x14ac:dyDescent="0.2">
      <c r="A206" s="1">
        <v>43538</v>
      </c>
      <c r="B206" s="23">
        <v>2.6549999999999998</v>
      </c>
      <c r="C206" s="23">
        <v>2.573</v>
      </c>
      <c r="D206" s="23">
        <v>2.512</v>
      </c>
      <c r="E206" s="23">
        <v>2.488</v>
      </c>
      <c r="F206" s="23">
        <v>2.4910000000000001</v>
      </c>
      <c r="G206" s="23">
        <v>2.512</v>
      </c>
      <c r="H206" s="23">
        <v>2.5379999999999998</v>
      </c>
      <c r="I206" s="23">
        <v>2.5680000000000001</v>
      </c>
      <c r="J206" s="23">
        <v>2.6019999999999999</v>
      </c>
      <c r="K206" s="23">
        <v>2.6339999999999999</v>
      </c>
    </row>
    <row r="207" spans="1:11" x14ac:dyDescent="0.2">
      <c r="A207" s="1">
        <v>43539</v>
      </c>
      <c r="B207" s="23">
        <v>2.653</v>
      </c>
      <c r="C207" s="23">
        <v>2.556</v>
      </c>
      <c r="D207" s="23">
        <v>2.488</v>
      </c>
      <c r="E207" s="23">
        <v>2.4620000000000002</v>
      </c>
      <c r="F207" s="23">
        <v>2.464</v>
      </c>
      <c r="G207" s="23">
        <v>2.484</v>
      </c>
      <c r="H207" s="23">
        <v>2.5099999999999998</v>
      </c>
      <c r="I207" s="23">
        <v>2.5419999999999998</v>
      </c>
      <c r="J207" s="23">
        <v>2.5760000000000001</v>
      </c>
      <c r="K207" s="23">
        <v>2.6080000000000001</v>
      </c>
    </row>
    <row r="208" spans="1:11" x14ac:dyDescent="0.2">
      <c r="A208" s="1">
        <v>43542</v>
      </c>
      <c r="B208" s="23">
        <v>2.661</v>
      </c>
      <c r="C208" s="23">
        <v>2.569</v>
      </c>
      <c r="D208" s="23">
        <v>2.504</v>
      </c>
      <c r="E208" s="23">
        <v>2.4769999999999999</v>
      </c>
      <c r="F208" s="23">
        <v>2.4780000000000002</v>
      </c>
      <c r="G208" s="23">
        <v>2.4980000000000002</v>
      </c>
      <c r="H208" s="23">
        <v>2.5230000000000001</v>
      </c>
      <c r="I208" s="23">
        <v>2.5529999999999999</v>
      </c>
      <c r="J208" s="23">
        <v>2.585</v>
      </c>
      <c r="K208" s="23">
        <v>2.6190000000000002</v>
      </c>
    </row>
    <row r="209" spans="1:11" x14ac:dyDescent="0.2">
      <c r="A209" s="1">
        <v>43545</v>
      </c>
      <c r="B209" s="23">
        <v>2.625</v>
      </c>
      <c r="C209" s="23">
        <v>2.4990000000000001</v>
      </c>
      <c r="D209" s="23">
        <v>2.42</v>
      </c>
      <c r="E209" s="23">
        <v>2.3879999999999999</v>
      </c>
      <c r="F209" s="23">
        <v>2.3879999999999999</v>
      </c>
      <c r="G209" s="23">
        <v>2.4060000000000001</v>
      </c>
      <c r="H209" s="23">
        <v>2.431</v>
      </c>
      <c r="I209" s="23">
        <v>2.4620000000000002</v>
      </c>
      <c r="J209" s="23">
        <v>2.4950000000000001</v>
      </c>
      <c r="K209" s="23">
        <v>2.5270000000000001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B238"/>
  <sheetViews>
    <sheetView tabSelected="1" topLeftCell="A5" workbookViewId="0">
      <selection activeCell="J29" sqref="J29"/>
    </sheetView>
  </sheetViews>
  <sheetFormatPr baseColWidth="10" defaultColWidth="8.83203125" defaultRowHeight="15" x14ac:dyDescent="0.2"/>
  <cols>
    <col min="2" max="2" width="11" bestFit="1" customWidth="1"/>
    <col min="3" max="3" width="18" bestFit="1" customWidth="1"/>
    <col min="4" max="6" width="9" bestFit="1" customWidth="1"/>
    <col min="7" max="7" width="13.1640625" bestFit="1" customWidth="1"/>
    <col min="8" max="13" width="9" bestFit="1" customWidth="1"/>
    <col min="14" max="14" width="15.83203125" bestFit="1" customWidth="1"/>
    <col min="15" max="17" width="9" bestFit="1" customWidth="1"/>
    <col min="19" max="21" width="9" bestFit="1" customWidth="1"/>
    <col min="23" max="23" width="11" bestFit="1" customWidth="1"/>
    <col min="24" max="24" width="12.83203125" bestFit="1" customWidth="1"/>
    <col min="25" max="25" width="11.33203125" bestFit="1" customWidth="1"/>
    <col min="26" max="26" width="12.33203125" bestFit="1" customWidth="1"/>
    <col min="27" max="27" width="9" bestFit="1" customWidth="1"/>
    <col min="28" max="28" width="12.1640625" bestFit="1" customWidth="1"/>
  </cols>
  <sheetData>
    <row r="1" spans="2:27" x14ac:dyDescent="0.2">
      <c r="C1" t="s">
        <v>11</v>
      </c>
      <c r="D1" s="5">
        <f>AVERAGE(D32:D238)</f>
        <v>9.9029126213592313E-4</v>
      </c>
      <c r="E1" s="5">
        <f t="shared" ref="E1:M1" si="0">AVERAGE(E32:E238)</f>
        <v>-4.5631067961164981E-4</v>
      </c>
      <c r="F1" s="5">
        <f t="shared" si="0"/>
        <v>-1.3300970873786409E-3</v>
      </c>
      <c r="G1" s="5">
        <f t="shared" si="0"/>
        <v>-1.7281553398058268E-3</v>
      </c>
      <c r="H1" s="5">
        <f t="shared" si="0"/>
        <v>-1.8592233009708738E-3</v>
      </c>
      <c r="I1" s="5">
        <f t="shared" si="0"/>
        <v>-1.864077669902912E-3</v>
      </c>
      <c r="J1" s="5">
        <f t="shared" si="0"/>
        <v>-1.8203883495145632E-3</v>
      </c>
      <c r="K1" s="5">
        <f t="shared" si="0"/>
        <v>-1.7524271844660182E-3</v>
      </c>
      <c r="L1" s="5">
        <f t="shared" si="0"/>
        <v>-1.6747572815533969E-3</v>
      </c>
      <c r="M1" s="5">
        <f t="shared" si="0"/>
        <v>-1.592233009708737E-3</v>
      </c>
    </row>
    <row r="2" spans="2:27" x14ac:dyDescent="0.2">
      <c r="C2" t="s">
        <v>12</v>
      </c>
      <c r="D2">
        <f>_xlfn.STDEV.S(D32:D238)</f>
        <v>1.695157818144321E-2</v>
      </c>
      <c r="E2">
        <f t="shared" ref="E2:M2" si="1">_xlfn.STDEV.S(E32:E238)</f>
        <v>2.8868508185548921E-2</v>
      </c>
      <c r="F2">
        <f t="shared" si="1"/>
        <v>3.3548912482687356E-2</v>
      </c>
      <c r="G2">
        <f t="shared" si="1"/>
        <v>3.5133249952009671E-2</v>
      </c>
      <c r="H2">
        <f t="shared" si="1"/>
        <v>3.5535411227409677E-2</v>
      </c>
      <c r="I2">
        <f t="shared" si="1"/>
        <v>3.5645421433126011E-2</v>
      </c>
      <c r="J2">
        <f t="shared" si="1"/>
        <v>3.5745875038771566E-2</v>
      </c>
      <c r="K2">
        <f t="shared" si="1"/>
        <v>3.5602300130298366E-2</v>
      </c>
      <c r="L2">
        <f t="shared" si="1"/>
        <v>3.552568351158341E-2</v>
      </c>
      <c r="M2">
        <f t="shared" si="1"/>
        <v>3.5390624883201625E-2</v>
      </c>
    </row>
    <row r="3" spans="2:27" x14ac:dyDescent="0.2">
      <c r="C3" s="11" t="s">
        <v>13</v>
      </c>
    </row>
    <row r="4" spans="2:27" x14ac:dyDescent="0.2">
      <c r="C4">
        <v>1</v>
      </c>
      <c r="D4">
        <f ca="1">_xlfn.COVARIANCE.S(OFFSET($D$32:$D$238,0,$C4-1),D$32:D$238)</f>
        <v>2.8735600284158141E-4</v>
      </c>
      <c r="E4">
        <f t="shared" ref="E4:M13" ca="1" si="2">_xlfn.COVARIANCE.S(OFFSET($D$32:$D$238,0,$C4-1),E$32:E$238)</f>
        <v>3.8577115794458957E-4</v>
      </c>
      <c r="F4">
        <f t="shared" ca="1" si="2"/>
        <v>4.3293336490646462E-4</v>
      </c>
      <c r="G4">
        <f t="shared" ca="1" si="2"/>
        <v>4.4129533506985567E-4</v>
      </c>
      <c r="H4">
        <f t="shared" ca="1" si="2"/>
        <v>4.3622088562633249E-4</v>
      </c>
      <c r="I4">
        <f t="shared" ca="1" si="2"/>
        <v>4.2966474070565969E-4</v>
      </c>
      <c r="J4">
        <f t="shared" ca="1" si="2"/>
        <v>4.241139474307364E-4</v>
      </c>
      <c r="K4">
        <f t="shared" ca="1" si="2"/>
        <v>4.1537314705185921E-4</v>
      </c>
      <c r="L4">
        <f t="shared" ca="1" si="2"/>
        <v>4.0813975846554554E-4</v>
      </c>
      <c r="M4">
        <f t="shared" ca="1" si="2"/>
        <v>4.0006251479990547E-4</v>
      </c>
    </row>
    <row r="5" spans="2:27" x14ac:dyDescent="0.2">
      <c r="C5">
        <f>C4+1</f>
        <v>2</v>
      </c>
      <c r="D5">
        <f ca="1">_xlfn.COVARIANCE.S(OFFSET($D$32:$D$238,0,$C5-1),D$32:D$238)</f>
        <v>3.8577115794458957E-4</v>
      </c>
      <c r="E5">
        <f t="shared" ca="1" si="2"/>
        <v>8.333907648591048E-4</v>
      </c>
      <c r="F5">
        <f t="shared" ca="1" si="2"/>
        <v>9.6139985792090938E-4</v>
      </c>
      <c r="G5">
        <f t="shared" ca="1" si="2"/>
        <v>9.9469538242955295E-4</v>
      </c>
      <c r="H5">
        <f t="shared" ca="1" si="2"/>
        <v>9.9057674638882353E-4</v>
      </c>
      <c r="I5">
        <f t="shared" ca="1" si="2"/>
        <v>9.7903305706843594E-4</v>
      </c>
      <c r="J5">
        <f t="shared" ca="1" si="2"/>
        <v>9.6553601704949085E-4</v>
      </c>
      <c r="K5">
        <f t="shared" ca="1" si="2"/>
        <v>9.4804522851053797E-4</v>
      </c>
      <c r="L5">
        <f t="shared" ca="1" si="2"/>
        <v>9.3191011129528721E-4</v>
      </c>
      <c r="M5">
        <f t="shared" ca="1" si="2"/>
        <v>9.1496258583945037E-4</v>
      </c>
    </row>
    <row r="6" spans="2:27" x14ac:dyDescent="0.2">
      <c r="C6">
        <f t="shared" ref="C6:C13" si="3">C5+1</f>
        <v>3</v>
      </c>
      <c r="D6">
        <f t="shared" ref="D6:D13" ca="1" si="4">_xlfn.COVARIANCE.S(OFFSET($D$32:$D$238,0,$C6-1),D$32:D$238)</f>
        <v>4.3293336490646462E-4</v>
      </c>
      <c r="E6" s="23">
        <f t="shared" ca="1" si="2"/>
        <v>9.6139985792090938E-4</v>
      </c>
      <c r="F6" s="23">
        <f t="shared" ca="1" si="2"/>
        <v>1.1255295287710158E-3</v>
      </c>
      <c r="G6" s="23">
        <f t="shared" ca="1" si="2"/>
        <v>1.1734706606677725E-3</v>
      </c>
      <c r="H6" s="23">
        <f t="shared" ca="1" si="2"/>
        <v>1.1764320625147998E-3</v>
      </c>
      <c r="I6" s="23">
        <f t="shared" ca="1" si="2"/>
        <v>1.1678255742363251E-3</v>
      </c>
      <c r="J6" s="23">
        <f t="shared" ca="1" si="2"/>
        <v>1.1564498224011363E-3</v>
      </c>
      <c r="K6" s="23">
        <f t="shared" ca="1" si="2"/>
        <v>1.1389309022022259E-3</v>
      </c>
      <c r="L6" s="23">
        <f t="shared" ca="1" si="2"/>
        <v>1.1227908122188009E-3</v>
      </c>
      <c r="M6" s="23">
        <f t="shared" ca="1" si="2"/>
        <v>1.105320625147998E-3</v>
      </c>
    </row>
    <row r="7" spans="2:27" x14ac:dyDescent="0.2">
      <c r="C7">
        <f t="shared" si="3"/>
        <v>4</v>
      </c>
      <c r="D7">
        <f t="shared" ca="1" si="4"/>
        <v>4.4129533506985567E-4</v>
      </c>
      <c r="E7" s="23">
        <f t="shared" ca="1" si="2"/>
        <v>9.9469538242955295E-4</v>
      </c>
      <c r="F7" s="23">
        <f t="shared" ca="1" si="2"/>
        <v>1.1734706606677725E-3</v>
      </c>
      <c r="G7" s="23">
        <f t="shared" ca="1" si="2"/>
        <v>1.2343452521903877E-3</v>
      </c>
      <c r="H7" s="23">
        <f t="shared" ca="1" si="2"/>
        <v>1.243971300023681E-3</v>
      </c>
      <c r="I7" s="23">
        <f t="shared" ca="1" si="2"/>
        <v>1.2402653090220234E-3</v>
      </c>
      <c r="J7" s="23">
        <f t="shared" ca="1" si="2"/>
        <v>1.2330484963296239E-3</v>
      </c>
      <c r="K7" s="23">
        <f t="shared" ca="1" si="2"/>
        <v>1.2177177362064889E-3</v>
      </c>
      <c r="L7" s="23">
        <f t="shared" ca="1" si="2"/>
        <v>1.2037160312574004E-3</v>
      </c>
      <c r="M7" s="23">
        <f t="shared" ca="1" si="2"/>
        <v>1.1878690977977743E-3</v>
      </c>
    </row>
    <row r="8" spans="2:27" x14ac:dyDescent="0.2">
      <c r="C8">
        <f t="shared" si="3"/>
        <v>5</v>
      </c>
      <c r="D8">
        <f t="shared" ca="1" si="4"/>
        <v>4.3622088562633249E-4</v>
      </c>
      <c r="E8" s="23">
        <f t="shared" ca="1" si="2"/>
        <v>9.9057674638882353E-4</v>
      </c>
      <c r="F8" s="23">
        <f t="shared" ca="1" si="2"/>
        <v>1.1764320625147998E-3</v>
      </c>
      <c r="G8" s="23">
        <f t="shared" ca="1" si="2"/>
        <v>1.243971300023681E-3</v>
      </c>
      <c r="H8" s="23">
        <f t="shared" ca="1" si="2"/>
        <v>1.2627654511011138E-3</v>
      </c>
      <c r="I8" s="23">
        <f t="shared" ca="1" si="2"/>
        <v>1.2639563817191581E-3</v>
      </c>
      <c r="J8" s="23">
        <f t="shared" ca="1" si="2"/>
        <v>1.2613745915226143E-3</v>
      </c>
      <c r="K8" s="23">
        <f t="shared" ca="1" si="2"/>
        <v>1.2491113189675592E-3</v>
      </c>
      <c r="L8" s="23">
        <f t="shared" ca="1" si="2"/>
        <v>1.2376759412739754E-3</v>
      </c>
      <c r="M8" s="23">
        <f t="shared" ca="1" si="2"/>
        <v>1.2243764622306415E-3</v>
      </c>
    </row>
    <row r="9" spans="2:27" x14ac:dyDescent="0.2">
      <c r="C9">
        <f t="shared" si="3"/>
        <v>6</v>
      </c>
      <c r="D9">
        <f t="shared" ca="1" si="4"/>
        <v>4.2966474070565969E-4</v>
      </c>
      <c r="E9" s="23">
        <f t="shared" ca="1" si="2"/>
        <v>9.7903305706843594E-4</v>
      </c>
      <c r="F9" s="23">
        <f t="shared" ca="1" si="2"/>
        <v>1.1678255742363251E-3</v>
      </c>
      <c r="G9" s="23">
        <f t="shared" ca="1" si="2"/>
        <v>1.2402653090220234E-3</v>
      </c>
      <c r="H9" s="23">
        <f t="shared" ca="1" si="2"/>
        <v>1.2639563817191581E-3</v>
      </c>
      <c r="I9" s="23">
        <f t="shared" ca="1" si="2"/>
        <v>1.2705960691451581E-3</v>
      </c>
      <c r="J9" s="23">
        <f t="shared" ca="1" si="2"/>
        <v>1.2719852237745688E-3</v>
      </c>
      <c r="K9" s="23">
        <f t="shared" ca="1" si="2"/>
        <v>1.2627613071276359E-3</v>
      </c>
      <c r="L9" s="23">
        <f t="shared" ca="1" si="2"/>
        <v>1.2540043570921154E-3</v>
      </c>
      <c r="M9" s="23">
        <f t="shared" ca="1" si="2"/>
        <v>1.2433540610940095E-3</v>
      </c>
    </row>
    <row r="10" spans="2:27" x14ac:dyDescent="0.2">
      <c r="C10">
        <f t="shared" si="3"/>
        <v>7</v>
      </c>
      <c r="D10">
        <f t="shared" ca="1" si="4"/>
        <v>4.241139474307364E-4</v>
      </c>
      <c r="E10" s="23">
        <f t="shared" ca="1" si="2"/>
        <v>9.6553601704949085E-4</v>
      </c>
      <c r="F10" s="23">
        <f t="shared" ca="1" si="2"/>
        <v>1.1564498224011363E-3</v>
      </c>
      <c r="G10" s="23">
        <f t="shared" ca="1" si="2"/>
        <v>1.2330484963296239E-3</v>
      </c>
      <c r="H10" s="23">
        <f t="shared" ca="1" si="2"/>
        <v>1.2613745915226143E-3</v>
      </c>
      <c r="I10" s="23">
        <f t="shared" ca="1" si="2"/>
        <v>1.2719852237745688E-3</v>
      </c>
      <c r="J10" s="23">
        <f t="shared" ca="1" si="2"/>
        <v>1.2777675822874728E-3</v>
      </c>
      <c r="K10" s="23">
        <f t="shared" ca="1" si="2"/>
        <v>1.2711309258820742E-3</v>
      </c>
      <c r="L10" s="23">
        <f t="shared" ca="1" si="2"/>
        <v>1.2650095903386199E-3</v>
      </c>
      <c r="M10" s="23">
        <f t="shared" ca="1" si="2"/>
        <v>1.2565459152261418E-3</v>
      </c>
    </row>
    <row r="11" spans="2:27" x14ac:dyDescent="0.2">
      <c r="C11">
        <f t="shared" si="3"/>
        <v>8</v>
      </c>
      <c r="D11">
        <f t="shared" ca="1" si="4"/>
        <v>4.1537314705185921E-4</v>
      </c>
      <c r="E11" s="23">
        <f t="shared" ca="1" si="2"/>
        <v>9.4804522851053797E-4</v>
      </c>
      <c r="F11" s="23">
        <f t="shared" ca="1" si="2"/>
        <v>1.1389309022022259E-3</v>
      </c>
      <c r="G11" s="23">
        <f t="shared" ca="1" si="2"/>
        <v>1.2177177362064889E-3</v>
      </c>
      <c r="H11" s="23">
        <f t="shared" ca="1" si="2"/>
        <v>1.2491113189675592E-3</v>
      </c>
      <c r="I11" s="23">
        <f t="shared" ca="1" si="2"/>
        <v>1.2627613071276359E-3</v>
      </c>
      <c r="J11" s="23">
        <f t="shared" ca="1" si="2"/>
        <v>1.2711309258820742E-3</v>
      </c>
      <c r="K11" s="23">
        <f t="shared" ca="1" si="2"/>
        <v>1.2675237745678428E-3</v>
      </c>
      <c r="L11" s="23">
        <f t="shared" ca="1" si="2"/>
        <v>1.2631727444944356E-3</v>
      </c>
      <c r="M11" s="23">
        <f t="shared" ca="1" si="2"/>
        <v>1.2563766043097323E-3</v>
      </c>
    </row>
    <row r="12" spans="2:27" x14ac:dyDescent="0.2">
      <c r="C12">
        <f t="shared" si="3"/>
        <v>9</v>
      </c>
      <c r="D12">
        <f t="shared" ca="1" si="4"/>
        <v>4.0813975846554554E-4</v>
      </c>
      <c r="E12" s="23">
        <f t="shared" ca="1" si="2"/>
        <v>9.3191011129528721E-4</v>
      </c>
      <c r="F12" s="23">
        <f t="shared" ca="1" si="2"/>
        <v>1.1227908122188009E-3</v>
      </c>
      <c r="G12" s="23">
        <f t="shared" ca="1" si="2"/>
        <v>1.2037160312574004E-3</v>
      </c>
      <c r="H12" s="23">
        <f t="shared" ca="1" si="2"/>
        <v>1.2376759412739754E-3</v>
      </c>
      <c r="I12" s="23">
        <f t="shared" ca="1" si="2"/>
        <v>1.2540043570921154E-3</v>
      </c>
      <c r="J12" s="23">
        <f t="shared" ca="1" si="2"/>
        <v>1.2650095903386199E-3</v>
      </c>
      <c r="K12" s="23">
        <f t="shared" ca="1" si="2"/>
        <v>1.2631727444944356E-3</v>
      </c>
      <c r="L12" s="23">
        <f t="shared" ca="1" si="2"/>
        <v>1.2620741889651896E-3</v>
      </c>
      <c r="M12" s="23">
        <f t="shared" ca="1" si="2"/>
        <v>1.2557252663982939E-3</v>
      </c>
    </row>
    <row r="13" spans="2:27" x14ac:dyDescent="0.2">
      <c r="C13">
        <f t="shared" si="3"/>
        <v>10</v>
      </c>
      <c r="D13">
        <f t="shared" ca="1" si="4"/>
        <v>4.0006251479990547E-4</v>
      </c>
      <c r="E13" s="23">
        <f t="shared" ca="1" si="2"/>
        <v>9.1496258583945037E-4</v>
      </c>
      <c r="F13" s="23">
        <f t="shared" ca="1" si="2"/>
        <v>1.105320625147998E-3</v>
      </c>
      <c r="G13" s="23">
        <f t="shared" ca="1" si="2"/>
        <v>1.1878690977977743E-3</v>
      </c>
      <c r="H13" s="23">
        <f t="shared" ca="1" si="2"/>
        <v>1.2243764622306415E-3</v>
      </c>
      <c r="I13" s="23">
        <f t="shared" ca="1" si="2"/>
        <v>1.2433540610940095E-3</v>
      </c>
      <c r="J13" s="23">
        <f t="shared" ca="1" si="2"/>
        <v>1.2565459152261418E-3</v>
      </c>
      <c r="K13" s="23">
        <f t="shared" ca="1" si="2"/>
        <v>1.2563766043097323E-3</v>
      </c>
      <c r="L13" s="23">
        <f t="shared" ca="1" si="2"/>
        <v>1.2557252663982939E-3</v>
      </c>
      <c r="M13" s="23">
        <f t="shared" ca="1" si="2"/>
        <v>1.252496329623489E-3</v>
      </c>
    </row>
    <row r="15" spans="2:27" x14ac:dyDescent="0.2">
      <c r="C15" t="s">
        <v>14</v>
      </c>
      <c r="D15" t="s">
        <v>15</v>
      </c>
      <c r="AA15" t="s">
        <v>29</v>
      </c>
    </row>
    <row r="16" spans="2:27" ht="16" thickBot="1" x14ac:dyDescent="0.25">
      <c r="B16" t="s">
        <v>19</v>
      </c>
      <c r="D16">
        <v>1</v>
      </c>
      <c r="E16">
        <f>D16+1</f>
        <v>2</v>
      </c>
      <c r="F16">
        <f t="shared" ref="F16:M16" si="5">E16+1</f>
        <v>3</v>
      </c>
      <c r="G16">
        <f t="shared" si="5"/>
        <v>4</v>
      </c>
      <c r="H16">
        <f t="shared" si="5"/>
        <v>5</v>
      </c>
      <c r="I16">
        <f t="shared" si="5"/>
        <v>6</v>
      </c>
      <c r="J16">
        <f t="shared" si="5"/>
        <v>7</v>
      </c>
      <c r="K16">
        <f t="shared" si="5"/>
        <v>8</v>
      </c>
      <c r="L16">
        <f t="shared" si="5"/>
        <v>9</v>
      </c>
      <c r="M16">
        <f t="shared" si="5"/>
        <v>10</v>
      </c>
      <c r="Z16" t="s">
        <v>30</v>
      </c>
      <c r="AA16">
        <f ca="1">SQRT(C17)</f>
        <v>0.10349924189943081</v>
      </c>
    </row>
    <row r="17" spans="1:28" ht="16" thickBot="1" x14ac:dyDescent="0.25">
      <c r="A17" t="s">
        <v>16</v>
      </c>
      <c r="B17" s="6">
        <f ca="1">SUM(C$17:C17)/SUM($C$17:$C$26)</f>
        <v>0.96733276688925751</v>
      </c>
      <c r="C17" s="10">
        <f t="array" aca="1" ref="C17:M26" ca="1">EIGEN_JK(D4:M13)</f>
        <v>1.0712093073756895E-2</v>
      </c>
      <c r="D17">
        <f ca="1"/>
        <v>0.11970991434356371</v>
      </c>
      <c r="E17">
        <f ca="1"/>
        <v>-0.50763660857099335</v>
      </c>
      <c r="F17">
        <f ca="1"/>
        <v>0.84479896084446005</v>
      </c>
      <c r="G17">
        <f ca="1"/>
        <v>-0.11812406827795786</v>
      </c>
      <c r="H17">
        <f ca="1"/>
        <v>1.5537327026743104E-2</v>
      </c>
      <c r="I17">
        <f ca="1"/>
        <v>-2.2302743959994762E-3</v>
      </c>
      <c r="J17">
        <f ca="1"/>
        <v>-1.9340780834201721E-3</v>
      </c>
      <c r="K17">
        <f ca="1"/>
        <v>-1.9216000398419276E-3</v>
      </c>
      <c r="L17">
        <f ca="1"/>
        <v>5.8070880355940834E-4</v>
      </c>
      <c r="M17">
        <f ca="1"/>
        <v>-9.0705990964023969E-3</v>
      </c>
      <c r="N17" t="s">
        <v>1</v>
      </c>
      <c r="AB17" s="12">
        <f ca="1">D17*$AA$16+OFFSET($D$1,C4-1,0)</f>
        <v>1.3380176644540566E-2</v>
      </c>
    </row>
    <row r="18" spans="1:28" ht="16" thickBot="1" x14ac:dyDescent="0.25">
      <c r="A18" t="s">
        <v>17</v>
      </c>
      <c r="B18" s="6">
        <f ca="1">SUM(C$17:C18)/SUM($C$17:$C$26)</f>
        <v>0.99019926655498469</v>
      </c>
      <c r="C18" s="10">
        <f ca="1"/>
        <v>2.5322007180424762E-4</v>
      </c>
      <c r="D18">
        <f ca="1"/>
        <v>0.26762040142008237</v>
      </c>
      <c r="E18">
        <f ca="1"/>
        <v>-0.47709357290767418</v>
      </c>
      <c r="F18">
        <f ca="1"/>
        <v>-0.22355060179733491</v>
      </c>
      <c r="G18">
        <f ca="1"/>
        <v>0.66558392082579887</v>
      </c>
      <c r="H18">
        <f ca="1"/>
        <v>-0.40535647649582518</v>
      </c>
      <c r="I18">
        <f ca="1"/>
        <v>0.20417072812157794</v>
      </c>
      <c r="J18">
        <f ca="1"/>
        <v>2.5734977318786828E-3</v>
      </c>
      <c r="K18">
        <f ca="1"/>
        <v>-1.7001717851979254E-2</v>
      </c>
      <c r="L18">
        <f ca="1"/>
        <v>-4.1955661108937545E-2</v>
      </c>
      <c r="M18">
        <f ca="1"/>
        <v>2.7690750027001246E-3</v>
      </c>
      <c r="N18" t="s">
        <v>2</v>
      </c>
      <c r="AB18" s="12">
        <f t="shared" ref="AB18:AB26" ca="1" si="6">D18*$AA$16+OFFSET($D$1,C5-1,0)</f>
        <v>4.4650086845243089E-2</v>
      </c>
    </row>
    <row r="19" spans="1:28" ht="16" thickBot="1" x14ac:dyDescent="0.25">
      <c r="A19" t="s">
        <v>18</v>
      </c>
      <c r="B19" s="6">
        <f ca="1">SUM(C$17:C19)/SUM($C$17:$C$26)</f>
        <v>0.99886479903436842</v>
      </c>
      <c r="C19" s="24">
        <f ca="1"/>
        <v>9.5960763069498603E-5</v>
      </c>
      <c r="D19" s="23">
        <f ca="1"/>
        <v>0.3180993036167859</v>
      </c>
      <c r="E19" s="23">
        <f ca="1"/>
        <v>-0.36459926529248948</v>
      </c>
      <c r="F19" s="23">
        <f ca="1"/>
        <v>-0.26924149690721194</v>
      </c>
      <c r="G19" s="23">
        <f ca="1"/>
        <v>3.9981207422160318E-2</v>
      </c>
      <c r="H19" s="23">
        <f ca="1"/>
        <v>0.53277468852609555</v>
      </c>
      <c r="I19" s="23">
        <f ca="1"/>
        <v>-0.61613194251981029</v>
      </c>
      <c r="J19" s="23">
        <f ca="1"/>
        <v>0.1226338503242957</v>
      </c>
      <c r="K19" s="23">
        <f ca="1"/>
        <v>7.0082578436722137E-2</v>
      </c>
      <c r="L19" s="23">
        <f ca="1"/>
        <v>8.6897278492490071E-2</v>
      </c>
      <c r="M19" s="23">
        <f ca="1"/>
        <v>2.8794519465048272E-2</v>
      </c>
      <c r="N19" t="s">
        <v>3</v>
      </c>
      <c r="AB19" s="12">
        <f t="shared" ca="1" si="6"/>
        <v>3.2923036773074212E-2</v>
      </c>
    </row>
    <row r="20" spans="1:28" ht="16" thickBot="1" x14ac:dyDescent="0.25">
      <c r="B20" s="6">
        <f ca="1">SUM(C$17:C20)/SUM($C$17:$C$26)</f>
        <v>0.99955693132263013</v>
      </c>
      <c r="C20" s="24">
        <f ca="1"/>
        <v>7.664565643789933E-6</v>
      </c>
      <c r="D20" s="23">
        <f ca="1"/>
        <v>0.33698004019474082</v>
      </c>
      <c r="E20" s="23">
        <f ca="1"/>
        <v>-0.21181909664847939</v>
      </c>
      <c r="F20" s="23">
        <f ca="1"/>
        <v>-0.22648945582325586</v>
      </c>
      <c r="G20" s="23">
        <f ca="1"/>
        <v>-0.32475661720082649</v>
      </c>
      <c r="H20" s="23">
        <f ca="1"/>
        <v>0.37278575737840869</v>
      </c>
      <c r="I20" s="23">
        <f ca="1"/>
        <v>0.62332740201417924</v>
      </c>
      <c r="J20" s="23">
        <f ca="1"/>
        <v>-0.39300868258590999</v>
      </c>
      <c r="K20" s="23">
        <f ca="1"/>
        <v>-3.4820551519019777E-2</v>
      </c>
      <c r="L20" s="23">
        <f ca="1"/>
        <v>3.9050916318750219E-2</v>
      </c>
      <c r="M20" s="23">
        <f ca="1"/>
        <v>1.3915122607750956E-2</v>
      </c>
      <c r="N20" t="s">
        <v>4</v>
      </c>
      <c r="AB20" s="12">
        <f t="shared" ca="1" si="6"/>
        <v>3.5164534698236979E-2</v>
      </c>
    </row>
    <row r="21" spans="1:28" ht="16" thickBot="1" x14ac:dyDescent="0.25">
      <c r="B21" s="6">
        <f ca="1">SUM(C$17:C21)/SUM($C$17:$C$26)</f>
        <v>0.99972602805756716</v>
      </c>
      <c r="C21" s="24">
        <f ca="1"/>
        <v>1.8725510239241237E-6</v>
      </c>
      <c r="D21" s="23">
        <f ca="1"/>
        <v>0.34270672536149527</v>
      </c>
      <c r="E21" s="23">
        <f ca="1"/>
        <v>-5.9136140813343299E-2</v>
      </c>
      <c r="F21" s="23">
        <f ca="1"/>
        <v>-0.13859816946338066</v>
      </c>
      <c r="G21" s="23">
        <f ca="1"/>
        <v>-0.43837546749458833</v>
      </c>
      <c r="H21" s="23">
        <f ca="1"/>
        <v>-0.31634323318690505</v>
      </c>
      <c r="I21" s="23">
        <f ca="1"/>
        <v>-7.9615579515775636E-2</v>
      </c>
      <c r="J21" s="23">
        <f ca="1"/>
        <v>0.32118245878463758</v>
      </c>
      <c r="K21" s="23">
        <f ca="1"/>
        <v>-0.33927525234966799</v>
      </c>
      <c r="L21" s="23">
        <f ca="1"/>
        <v>-0.57142087541368225</v>
      </c>
      <c r="M21" s="23">
        <f ca="1"/>
        <v>0.11737285179090029</v>
      </c>
      <c r="N21" t="s">
        <v>5</v>
      </c>
      <c r="AB21" s="12">
        <f t="shared" ca="1" si="6"/>
        <v>3.5855657426695789E-2</v>
      </c>
    </row>
    <row r="22" spans="1:28" ht="16" thickBot="1" x14ac:dyDescent="0.25">
      <c r="B22" s="6">
        <f ca="1">SUM(C$17:C22)/SUM($C$17:$C$26)</f>
        <v>0.99982675743319993</v>
      </c>
      <c r="C22" s="24">
        <f ca="1"/>
        <v>1.1154614874753203E-6</v>
      </c>
      <c r="D22" s="23">
        <f ca="1"/>
        <v>0.34411351126198719</v>
      </c>
      <c r="E22" s="23">
        <f ca="1"/>
        <v>6.138461413957827E-2</v>
      </c>
      <c r="F22" s="23">
        <f ca="1"/>
        <v>-4.8627010973817081E-2</v>
      </c>
      <c r="G22" s="23">
        <f ca="1"/>
        <v>-0.2582336056588258</v>
      </c>
      <c r="H22" s="23">
        <f ca="1"/>
        <v>-0.34251372199325508</v>
      </c>
      <c r="I22" s="23">
        <f ca="1"/>
        <v>-0.11765015157606097</v>
      </c>
      <c r="J22" s="23">
        <f ca="1"/>
        <v>-4.5304563328474053E-2</v>
      </c>
      <c r="K22" s="23">
        <f ca="1"/>
        <v>0.37671502849948796</v>
      </c>
      <c r="L22" s="23">
        <f ca="1"/>
        <v>0.22384698279885215</v>
      </c>
      <c r="M22" s="23">
        <f ca="1"/>
        <v>-0.69593617486829351</v>
      </c>
      <c r="N22" t="s">
        <v>6</v>
      </c>
      <c r="AB22" s="12">
        <f t="shared" ca="1" si="6"/>
        <v>3.6048420907873385E-2</v>
      </c>
    </row>
    <row r="23" spans="1:28" ht="16" thickBot="1" x14ac:dyDescent="0.25">
      <c r="B23" s="6">
        <f ca="1">SUM(C$17:C23)/SUM($C$17:$C$26)</f>
        <v>0.99990907416127084</v>
      </c>
      <c r="C23" s="24">
        <f ca="1"/>
        <v>9.1156268329291695E-7</v>
      </c>
      <c r="D23" s="23">
        <f ca="1"/>
        <v>0.34432688177631204</v>
      </c>
      <c r="E23" s="23">
        <f ca="1"/>
        <v>0.16656452261016672</v>
      </c>
      <c r="F23" s="23">
        <f ca="1"/>
        <v>4.789132352131005E-2</v>
      </c>
      <c r="G23" s="23">
        <f ca="1"/>
        <v>-0.1174805579661526</v>
      </c>
      <c r="H23" s="23">
        <f ca="1"/>
        <v>-0.26563672137405897</v>
      </c>
      <c r="I23" s="23">
        <f ca="1"/>
        <v>-7.9001106816516647E-2</v>
      </c>
      <c r="J23" s="23">
        <f ca="1"/>
        <v>-9.3890308777839215E-2</v>
      </c>
      <c r="K23" s="23">
        <f ca="1"/>
        <v>0.45041132382663362</v>
      </c>
      <c r="L23" s="23">
        <f ca="1"/>
        <v>0.24865587533205347</v>
      </c>
      <c r="M23" s="23">
        <f ca="1"/>
        <v>0.69837343184202205</v>
      </c>
      <c r="N23" t="s">
        <v>7</v>
      </c>
      <c r="AB23" s="12">
        <f t="shared" ca="1" si="6"/>
        <v>3.607886656451309E-2</v>
      </c>
    </row>
    <row r="24" spans="1:28" ht="16" thickBot="1" x14ac:dyDescent="0.25">
      <c r="B24" s="6">
        <f ca="1">SUM(C$17:C24)/SUM($C$17:$C$26)</f>
        <v>0.99994425287595712</v>
      </c>
      <c r="C24" s="24">
        <f ca="1"/>
        <v>3.8956363190963624E-7</v>
      </c>
      <c r="D24" s="23">
        <f ca="1"/>
        <v>0.34170920232632368</v>
      </c>
      <c r="E24" s="23">
        <f ca="1"/>
        <v>0.24532024772258415</v>
      </c>
      <c r="F24" s="23">
        <f ca="1"/>
        <v>0.10838145524171434</v>
      </c>
      <c r="G24" s="23">
        <f ca="1"/>
        <v>7.3068658139501183E-2</v>
      </c>
      <c r="H24" s="23">
        <f ca="1"/>
        <v>-7.2195212381559098E-2</v>
      </c>
      <c r="I24" s="23">
        <f ca="1"/>
        <v>-9.0587637805904439E-2</v>
      </c>
      <c r="J24" s="23">
        <f ca="1"/>
        <v>-5.9626190384970225E-2</v>
      </c>
      <c r="K24" s="23">
        <f ca="1"/>
        <v>-0.70871157104000193</v>
      </c>
      <c r="L24" s="23">
        <f ca="1"/>
        <v>0.5352400087755288</v>
      </c>
      <c r="M24" s="23">
        <f ca="1"/>
        <v>-1.3494460539516986E-3</v>
      </c>
      <c r="N24" t="s">
        <v>8</v>
      </c>
      <c r="AB24" s="12">
        <f t="shared" ca="1" si="6"/>
        <v>3.5802864276460053E-2</v>
      </c>
    </row>
    <row r="25" spans="1:28" ht="16" thickBot="1" x14ac:dyDescent="0.25">
      <c r="B25" s="6">
        <f ca="1">SUM(C$17:C25)/SUM($C$17:$C$26)</f>
        <v>0.99997545605513494</v>
      </c>
      <c r="C25" s="24">
        <f ca="1"/>
        <v>3.4553916810382931E-7</v>
      </c>
      <c r="D25" s="23">
        <f ca="1"/>
        <v>0.33926756894932553</v>
      </c>
      <c r="E25" s="23">
        <f ca="1"/>
        <v>0.31514142284985747</v>
      </c>
      <c r="F25" s="23">
        <f ca="1"/>
        <v>0.17017213300711892</v>
      </c>
      <c r="G25" s="23">
        <f ca="1"/>
        <v>0.23312401396493201</v>
      </c>
      <c r="H25" s="23">
        <f ca="1"/>
        <v>0.31680978833702028</v>
      </c>
      <c r="I25" s="23">
        <f ca="1"/>
        <v>0.349843768041468</v>
      </c>
      <c r="J25" s="23">
        <f ca="1"/>
        <v>0.66562916179074827</v>
      </c>
      <c r="K25" s="23">
        <f ca="1"/>
        <v>0.17547945800544257</v>
      </c>
      <c r="L25" s="23">
        <f ca="1"/>
        <v>-1.9688979470587196E-2</v>
      </c>
      <c r="M25" s="23">
        <f ca="1"/>
        <v>-7.1993896129356749E-2</v>
      </c>
      <c r="N25" t="s">
        <v>9</v>
      </c>
      <c r="AB25" s="12">
        <f t="shared" ca="1" si="6"/>
        <v>3.5543600928023722E-2</v>
      </c>
    </row>
    <row r="26" spans="1:28" x14ac:dyDescent="0.2">
      <c r="B26" s="6">
        <f ca="1">SUM(C$17:C26)/SUM($C$17:$C$26)</f>
        <v>1</v>
      </c>
      <c r="C26" s="25">
        <f ca="1"/>
        <v>2.7179583985102923E-7</v>
      </c>
      <c r="D26" s="23">
        <f ca="1"/>
        <v>0.33617773669645079</v>
      </c>
      <c r="E26" s="23">
        <f ca="1"/>
        <v>0.37733513994553042</v>
      </c>
      <c r="F26" s="23">
        <f ca="1"/>
        <v>0.21904034925155741</v>
      </c>
      <c r="G26" s="23">
        <f ca="1"/>
        <v>0.32192270762845931</v>
      </c>
      <c r="H26" s="23">
        <f ca="1"/>
        <v>0.13818277547269994</v>
      </c>
      <c r="I26" s="23">
        <f ca="1"/>
        <v>-0.18203176440665131</v>
      </c>
      <c r="J26" s="23">
        <f ca="1"/>
        <v>-0.51947206050018813</v>
      </c>
      <c r="K26" s="23">
        <f ca="1"/>
        <v>2.5016177595854359E-2</v>
      </c>
      <c r="L26" s="23">
        <f ca="1"/>
        <v>-0.51364843851899544</v>
      </c>
      <c r="M26" s="23">
        <f ca="1"/>
        <v>-8.8731974237411512E-2</v>
      </c>
      <c r="N26" t="s">
        <v>10</v>
      </c>
      <c r="AB26" s="12">
        <f t="shared" ca="1" si="6"/>
        <v>3.5218254838979855E-2</v>
      </c>
    </row>
    <row r="29" spans="1:28" ht="16" thickBot="1" x14ac:dyDescent="0.25">
      <c r="N29" s="7" t="s">
        <v>31</v>
      </c>
      <c r="O29" s="8">
        <f ca="1">_xlfn.STDEV.S(O32:O237)</f>
        <v>0.10349924189943084</v>
      </c>
      <c r="P29" s="8">
        <f ca="1">_xlfn.STDEV.S(P32:P237)</f>
        <v>1.5912890114754361E-2</v>
      </c>
      <c r="Q29" s="9">
        <f ca="1">_xlfn.STDEV.S(Q32:Q237)</f>
        <v>9.7959564652717011E-3</v>
      </c>
      <c r="W29" t="s">
        <v>24</v>
      </c>
      <c r="X29" t="s">
        <v>26</v>
      </c>
    </row>
    <row r="30" spans="1:28" x14ac:dyDescent="0.2">
      <c r="C30" s="14" t="str">
        <f>'Clean Swap Data'!A2</f>
        <v>Date</v>
      </c>
      <c r="D30" s="15" t="str">
        <f>'Clean Swap Data'!B2</f>
        <v>ICERATESUSD1Y</v>
      </c>
      <c r="E30" s="15" t="str">
        <f>'Clean Swap Data'!C2</f>
        <v>ICERATESUSD2Y</v>
      </c>
      <c r="F30" s="15" t="str">
        <f>'Clean Swap Data'!D2</f>
        <v>ICERATESUSD3Y</v>
      </c>
      <c r="G30" s="15" t="str">
        <f>'Clean Swap Data'!E2</f>
        <v>ICERATESUSD4Y</v>
      </c>
      <c r="H30" s="15" t="str">
        <f>'Clean Swap Data'!F2</f>
        <v>ICERATESUSD5Y</v>
      </c>
      <c r="I30" s="15" t="str">
        <f>'Clean Swap Data'!G2</f>
        <v>ICERATESUSD6Y</v>
      </c>
      <c r="J30" s="15" t="str">
        <f>'Clean Swap Data'!H2</f>
        <v>ICERATESUSD7Y</v>
      </c>
      <c r="K30" s="15" t="str">
        <f>'Clean Swap Data'!I2</f>
        <v>ICERATESUSD8Y</v>
      </c>
      <c r="L30" s="15" t="str">
        <f>'Clean Swap Data'!J2</f>
        <v>ICERATESUSD9Y</v>
      </c>
      <c r="M30" s="16" t="str">
        <f>'Clean Swap Data'!K2</f>
        <v>ICERATESUSD10Y</v>
      </c>
      <c r="O30" t="s">
        <v>15</v>
      </c>
      <c r="S30" t="s">
        <v>20</v>
      </c>
      <c r="W30" t="s">
        <v>25</v>
      </c>
      <c r="X30" t="s">
        <v>21</v>
      </c>
      <c r="Y30" t="s">
        <v>22</v>
      </c>
      <c r="Z30" t="s">
        <v>23</v>
      </c>
    </row>
    <row r="31" spans="1:28" x14ac:dyDescent="0.2">
      <c r="C31" s="17">
        <f>'Clean Swap Data'!A3</f>
        <v>43181</v>
      </c>
      <c r="D31" s="18"/>
      <c r="E31" s="19"/>
      <c r="F31" s="19"/>
      <c r="G31" s="19"/>
      <c r="H31" s="19"/>
      <c r="I31" s="19"/>
      <c r="J31" s="19"/>
      <c r="K31" s="19"/>
      <c r="L31" s="19"/>
      <c r="M31" s="20"/>
      <c r="O31" t="s">
        <v>21</v>
      </c>
      <c r="P31" t="s">
        <v>22</v>
      </c>
      <c r="Q31" t="s">
        <v>23</v>
      </c>
      <c r="S31" t="s">
        <v>21</v>
      </c>
      <c r="T31" t="s">
        <v>22</v>
      </c>
      <c r="U31" t="s">
        <v>23</v>
      </c>
      <c r="W31" t="s">
        <v>21</v>
      </c>
      <c r="X31">
        <f ca="1">CORREL($O$32:$O$237,S32:S237)</f>
        <v>0.98314570614050911</v>
      </c>
      <c r="Y31">
        <f t="shared" ref="Y31:Z31" ca="1" si="7">CORREL($O$32:$O$237,T32:T237)</f>
        <v>0.82374860600984168</v>
      </c>
      <c r="Z31">
        <f t="shared" ca="1" si="7"/>
        <v>-0.71092635579508612</v>
      </c>
    </row>
    <row r="32" spans="1:28" x14ac:dyDescent="0.2">
      <c r="C32" s="17">
        <f>'Clean Swap Data'!A4</f>
        <v>43182</v>
      </c>
      <c r="D32" s="21">
        <f>'Clean Swap Data'!B4-'Clean Swap Data'!B3</f>
        <v>-9.9999999999988987E-4</v>
      </c>
      <c r="E32" s="21">
        <f>'Clean Swap Data'!C4-'Clean Swap Data'!C3</f>
        <v>7.0000000000001172E-3</v>
      </c>
      <c r="F32" s="21">
        <f>'Clean Swap Data'!D4-'Clean Swap Data'!D3</f>
        <v>3.0000000000001137E-3</v>
      </c>
      <c r="G32" s="21">
        <f>'Clean Swap Data'!E4-'Clean Swap Data'!E3</f>
        <v>1.9999999999997797E-3</v>
      </c>
      <c r="H32" s="21">
        <f>'Clean Swap Data'!F4-'Clean Swap Data'!F3</f>
        <v>3.0000000000001137E-3</v>
      </c>
      <c r="I32" s="21">
        <f>'Clean Swap Data'!G4-'Clean Swap Data'!G3</f>
        <v>7.0000000000001172E-3</v>
      </c>
      <c r="J32" s="21">
        <f>'Clean Swap Data'!H4-'Clean Swap Data'!H3</f>
        <v>1.1000000000000121E-2</v>
      </c>
      <c r="K32" s="21">
        <f>'Clean Swap Data'!I4-'Clean Swap Data'!I3</f>
        <v>1.4000000000000234E-2</v>
      </c>
      <c r="L32" s="21">
        <f>'Clean Swap Data'!J4-'Clean Swap Data'!J3</f>
        <v>1.6000000000000014E-2</v>
      </c>
      <c r="M32" s="21">
        <f>'Clean Swap Data'!K4-'Clean Swap Data'!K3</f>
        <v>1.9000000000000128E-2</v>
      </c>
      <c r="O32">
        <f t="array" aca="1" ref="O32:O237" ca="1">MMULT($D$32:$M$237,D17:D26)</f>
        <v>2.7205988274285244E-2</v>
      </c>
      <c r="P32">
        <f t="array" aca="1" ref="P32:P237" ca="1">MMULT($D$32:$M$237,E17:E26)</f>
        <v>1.3381153126970701E-2</v>
      </c>
      <c r="Q32">
        <f t="array" aca="1" ref="Q32:Q237" ca="1">MMULT($D$32:$M$237,F17:F26)</f>
        <v>4.5021255350112185E-3</v>
      </c>
      <c r="S32" s="5">
        <f>AVERAGE(M32)</f>
        <v>1.9000000000000128E-2</v>
      </c>
      <c r="T32" s="5">
        <f>M32-D32</f>
        <v>2.0000000000000018E-2</v>
      </c>
      <c r="U32">
        <f>M32+D32-2*F32</f>
        <v>1.2000000000000011E-2</v>
      </c>
      <c r="W32" t="s">
        <v>22</v>
      </c>
      <c r="X32" s="23">
        <f ca="1">CORREL($P$32:$P$237,S32:S237)</f>
        <v>0.16966336814571745</v>
      </c>
      <c r="Y32" s="23">
        <f t="shared" ref="Y32:Z32" ca="1" si="8">CORREL($P$32:$P$237,T32:T237)</f>
        <v>0.51777687043791298</v>
      </c>
      <c r="Z32" s="23">
        <f t="shared" ca="1" si="8"/>
        <v>0.36305011284549144</v>
      </c>
    </row>
    <row r="33" spans="3:26" x14ac:dyDescent="0.2">
      <c r="C33" s="17">
        <f>'Clean Swap Data'!A5</f>
        <v>43185</v>
      </c>
      <c r="D33" s="21">
        <f>'Clean Swap Data'!B5-'Clean Swap Data'!B4</f>
        <v>8.0000000000000071E-3</v>
      </c>
      <c r="E33" s="21">
        <f>'Clean Swap Data'!C5-'Clean Swap Data'!C4</f>
        <v>8.0000000000000071E-3</v>
      </c>
      <c r="F33" s="21">
        <f>'Clean Swap Data'!D5-'Clean Swap Data'!D4</f>
        <v>3.0000000000001137E-3</v>
      </c>
      <c r="G33" s="21">
        <f>'Clean Swap Data'!E5-'Clean Swap Data'!E4</f>
        <v>-9.9999999999988987E-4</v>
      </c>
      <c r="H33" s="21">
        <f>'Clean Swap Data'!F5-'Clean Swap Data'!F4</f>
        <v>-4.0000000000000036E-3</v>
      </c>
      <c r="I33" s="21">
        <f>'Clean Swap Data'!G5-'Clean Swap Data'!G4</f>
        <v>-7.0000000000001172E-3</v>
      </c>
      <c r="J33" s="21">
        <f>'Clean Swap Data'!H5-'Clean Swap Data'!H4</f>
        <v>-9.0000000000003411E-3</v>
      </c>
      <c r="K33" s="21">
        <f>'Clean Swap Data'!I5-'Clean Swap Data'!I4</f>
        <v>-1.1000000000000121E-2</v>
      </c>
      <c r="L33" s="21">
        <f>'Clean Swap Data'!J5-'Clean Swap Data'!J4</f>
        <v>-1.2999999999999901E-2</v>
      </c>
      <c r="M33" s="21">
        <f>'Clean Swap Data'!K5-'Clean Swap Data'!K4</f>
        <v>-1.5000000000000124E-2</v>
      </c>
      <c r="O33">
        <f ca="1"/>
        <v>-1.6374548691879601E-2</v>
      </c>
      <c r="P33">
        <f ca="1"/>
        <v>-2.2907436911453215E-2</v>
      </c>
      <c r="Q33">
        <f ca="1"/>
        <v>-1.8375272950677769E-3</v>
      </c>
      <c r="S33" s="5">
        <f t="shared" ref="S33:S96" si="9">AVERAGE(M33)</f>
        <v>-1.5000000000000124E-2</v>
      </c>
      <c r="T33" s="5">
        <f t="shared" ref="T33:T35" si="10">M33-D33</f>
        <v>-2.3000000000000131E-2</v>
      </c>
      <c r="U33">
        <f t="shared" ref="U33:U35" si="11">M33+D33-2*F33</f>
        <v>-1.3000000000000345E-2</v>
      </c>
      <c r="W33" t="s">
        <v>23</v>
      </c>
      <c r="X33" s="23">
        <f ca="1">CORREL($Q$32:$Q$237,S32:S237)</f>
        <v>6.0629325821157709E-2</v>
      </c>
      <c r="Y33" s="23">
        <f t="shared" ref="Y33:Z33" ca="1" si="12">CORREL($Q$32:$Q$237,T32:T237)</f>
        <v>-0.22538128821310224</v>
      </c>
      <c r="Z33" s="23">
        <f t="shared" ca="1" si="12"/>
        <v>0.59794612277230808</v>
      </c>
    </row>
    <row r="34" spans="3:26" x14ac:dyDescent="0.2">
      <c r="C34" s="17">
        <f>'Clean Swap Data'!A6</f>
        <v>43186</v>
      </c>
      <c r="D34" s="21">
        <f>'Clean Swap Data'!B6-'Clean Swap Data'!B5</f>
        <v>-3.6999999999999922E-2</v>
      </c>
      <c r="E34" s="21">
        <f>'Clean Swap Data'!C6-'Clean Swap Data'!C5</f>
        <v>-2.4000000000000021E-2</v>
      </c>
      <c r="F34" s="21">
        <f>'Clean Swap Data'!D6-'Clean Swap Data'!D5</f>
        <v>-2.4000000000000021E-2</v>
      </c>
      <c r="G34" s="21">
        <f>'Clean Swap Data'!E6-'Clean Swap Data'!E5</f>
        <v>-2.0000000000000018E-2</v>
      </c>
      <c r="H34" s="21">
        <f>'Clean Swap Data'!F6-'Clean Swap Data'!F5</f>
        <v>-1.6000000000000014E-2</v>
      </c>
      <c r="I34" s="21">
        <f>'Clean Swap Data'!G6-'Clean Swap Data'!G5</f>
        <v>-1.4000000000000234E-2</v>
      </c>
      <c r="J34" s="21">
        <f>'Clean Swap Data'!H6-'Clean Swap Data'!H5</f>
        <v>-1.2000000000000011E-2</v>
      </c>
      <c r="K34" s="21">
        <f>'Clean Swap Data'!I6-'Clean Swap Data'!I5</f>
        <v>-1.2000000000000011E-2</v>
      </c>
      <c r="L34" s="21">
        <f>'Clean Swap Data'!J6-'Clean Swap Data'!J5</f>
        <v>-9.9999999999997868E-3</v>
      </c>
      <c r="M34" s="21">
        <f>'Clean Swap Data'!K6-'Clean Swap Data'!K5</f>
        <v>-8.0000000000000071E-3</v>
      </c>
      <c r="O34">
        <f ca="1"/>
        <v>-4.9841567911239781E-2</v>
      </c>
      <c r="P34">
        <f ca="1"/>
        <v>3.2193645629903858E-2</v>
      </c>
      <c r="Q34">
        <f ca="1"/>
        <v>-1.7331730670063064E-2</v>
      </c>
      <c r="S34" s="5">
        <f t="shared" si="9"/>
        <v>-8.0000000000000071E-3</v>
      </c>
      <c r="T34" s="5">
        <f t="shared" si="10"/>
        <v>2.8999999999999915E-2</v>
      </c>
      <c r="U34">
        <f t="shared" si="11"/>
        <v>3.0000000000001137E-3</v>
      </c>
    </row>
    <row r="35" spans="3:26" ht="16" thickBot="1" x14ac:dyDescent="0.25">
      <c r="C35" s="17">
        <f>'Clean Swap Data'!A7</f>
        <v>43188</v>
      </c>
      <c r="D35" s="21">
        <f>'Clean Swap Data'!B7-'Clean Swap Data'!B6</f>
        <v>3.2999999999999918E-2</v>
      </c>
      <c r="E35" s="21">
        <f>'Clean Swap Data'!C7-'Clean Swap Data'!C6</f>
        <v>-3.0000000000001137E-3</v>
      </c>
      <c r="F35" s="21">
        <f>'Clean Swap Data'!D7-'Clean Swap Data'!D6</f>
        <v>-1.7000000000000348E-2</v>
      </c>
      <c r="G35" s="21">
        <f>'Clean Swap Data'!E7-'Clean Swap Data'!E6</f>
        <v>-3.0000000000000249E-2</v>
      </c>
      <c r="H35" s="21">
        <f>'Clean Swap Data'!F7-'Clean Swap Data'!F6</f>
        <v>-4.0000000000000036E-2</v>
      </c>
      <c r="I35" s="21">
        <f>'Clean Swap Data'!G7-'Clean Swap Data'!G6</f>
        <v>-4.6999999999999709E-2</v>
      </c>
      <c r="J35" s="21">
        <f>'Clean Swap Data'!H7-'Clean Swap Data'!H6</f>
        <v>-5.2999999999999936E-2</v>
      </c>
      <c r="K35" s="21">
        <f>'Clean Swap Data'!I7-'Clean Swap Data'!I6</f>
        <v>-5.500000000000016E-2</v>
      </c>
      <c r="L35" s="21">
        <f>'Clean Swap Data'!J7-'Clean Swap Data'!J6</f>
        <v>-5.9000000000000163E-2</v>
      </c>
      <c r="M35" s="21">
        <f>'Clean Swap Data'!K7-'Clean Swap Data'!K6</f>
        <v>-6.1999999999999833E-2</v>
      </c>
      <c r="O35">
        <f ca="1"/>
        <v>-0.12015426454730611</v>
      </c>
      <c r="P35">
        <f ca="1"/>
        <v>-6.7596254134564659E-2</v>
      </c>
      <c r="Q35">
        <f ca="1"/>
        <v>1.5630325243743883E-2</v>
      </c>
      <c r="S35" s="5">
        <f t="shared" si="9"/>
        <v>-6.1999999999999833E-2</v>
      </c>
      <c r="T35" s="5">
        <f t="shared" si="10"/>
        <v>-9.4999999999999751E-2</v>
      </c>
      <c r="U35">
        <f t="shared" si="11"/>
        <v>5.0000000000007816E-3</v>
      </c>
      <c r="W35" s="11" t="s">
        <v>27</v>
      </c>
    </row>
    <row r="36" spans="3:26" x14ac:dyDescent="0.2">
      <c r="C36" s="17">
        <f>'Clean Swap Data'!A8</f>
        <v>43192</v>
      </c>
      <c r="D36" s="26">
        <f>'Clean Swap Data'!B8-'Clean Swap Data'!B7</f>
        <v>-1.6999999999999904E-2</v>
      </c>
      <c r="E36" s="26">
        <f>'Clean Swap Data'!C8-'Clean Swap Data'!C7</f>
        <v>-1.9999999999997797E-3</v>
      </c>
      <c r="F36" s="26">
        <f>'Clean Swap Data'!D8-'Clean Swap Data'!D7</f>
        <v>2.0000000000002238E-3</v>
      </c>
      <c r="G36" s="26">
        <f>'Clean Swap Data'!E8-'Clean Swap Data'!E7</f>
        <v>6.0000000000002274E-3</v>
      </c>
      <c r="H36" s="26">
        <f>'Clean Swap Data'!F8-'Clean Swap Data'!F7</f>
        <v>8.999999999999897E-3</v>
      </c>
      <c r="I36" s="26">
        <f>'Clean Swap Data'!G8-'Clean Swap Data'!G7</f>
        <v>9.9999999999997868E-3</v>
      </c>
      <c r="J36" s="26">
        <f>'Clean Swap Data'!H8-'Clean Swap Data'!H7</f>
        <v>1.2000000000000011E-2</v>
      </c>
      <c r="K36" s="26">
        <f>'Clean Swap Data'!I8-'Clean Swap Data'!I7</f>
        <v>1.2000000000000011E-2</v>
      </c>
      <c r="L36" s="26">
        <f>'Clean Swap Data'!J8-'Clean Swap Data'!J7</f>
        <v>1.2999999999999901E-2</v>
      </c>
      <c r="M36" s="26">
        <f>'Clean Swap Data'!K8-'Clean Swap Data'!K7</f>
        <v>1.499999999999968E-2</v>
      </c>
      <c r="O36" s="23">
        <f ca="1"/>
        <v>2.4298842598614197E-2</v>
      </c>
      <c r="P36" s="23">
        <f ca="1"/>
        <v>2.2365000095345748E-2</v>
      </c>
      <c r="Q36" s="23">
        <f ca="1"/>
        <v>-1.0172438181401651E-2</v>
      </c>
      <c r="S36" s="27">
        <f t="shared" si="9"/>
        <v>1.499999999999968E-2</v>
      </c>
      <c r="T36" s="27">
        <f t="shared" ref="T36" si="13">M36-D36</f>
        <v>3.1999999999999584E-2</v>
      </c>
      <c r="U36" s="23">
        <f t="shared" ref="U36" si="14">M36+D36-2*F36</f>
        <v>-6.0000000000006715E-3</v>
      </c>
      <c r="W36" t="s">
        <v>21</v>
      </c>
      <c r="X36" s="13">
        <f ca="1">CORREL($O$32:$O$237,O32:O237)</f>
        <v>1.0000000000000002</v>
      </c>
      <c r="Y36" s="13">
        <f t="shared" ref="Y36:Z36" ca="1" si="15">CORREL($O$32:$O$237,P32:P237)</f>
        <v>-2.0082028099295139E-13</v>
      </c>
      <c r="Z36" s="13">
        <f t="shared" ca="1" si="15"/>
        <v>-3.5054329941646728E-16</v>
      </c>
    </row>
    <row r="37" spans="3:26" x14ac:dyDescent="0.2">
      <c r="C37" s="17">
        <f>'Clean Swap Data'!A9</f>
        <v>43193</v>
      </c>
      <c r="D37" s="26">
        <f>'Clean Swap Data'!B9-'Clean Swap Data'!B8</f>
        <v>2.5999999999999801E-2</v>
      </c>
      <c r="E37" s="26">
        <f>'Clean Swap Data'!C9-'Clean Swap Data'!C8</f>
        <v>1.399999999999979E-2</v>
      </c>
      <c r="F37" s="26">
        <f>'Clean Swap Data'!D9-'Clean Swap Data'!D8</f>
        <v>1.2999999999999901E-2</v>
      </c>
      <c r="G37" s="26">
        <f>'Clean Swap Data'!E9-'Clean Swap Data'!E8</f>
        <v>1.2000000000000011E-2</v>
      </c>
      <c r="H37" s="26">
        <f>'Clean Swap Data'!F9-'Clean Swap Data'!F8</f>
        <v>1.0000000000000231E-2</v>
      </c>
      <c r="I37" s="26">
        <f>'Clean Swap Data'!G9-'Clean Swap Data'!G8</f>
        <v>1.0000000000000231E-2</v>
      </c>
      <c r="J37" s="26">
        <f>'Clean Swap Data'!H9-'Clean Swap Data'!H8</f>
        <v>8.0000000000000071E-3</v>
      </c>
      <c r="K37" s="26">
        <f>'Clean Swap Data'!I9-'Clean Swap Data'!I8</f>
        <v>7.0000000000001172E-3</v>
      </c>
      <c r="L37" s="26">
        <f>'Clean Swap Data'!J9-'Clean Swap Data'!J8</f>
        <v>7.0000000000001172E-3</v>
      </c>
      <c r="M37" s="26">
        <f>'Clean Swap Data'!K9-'Clean Swap Data'!K8</f>
        <v>5.0000000000003375E-3</v>
      </c>
      <c r="O37" s="23">
        <f ca="1"/>
        <v>3.1108738325026277E-2</v>
      </c>
      <c r="P37" s="23">
        <f ca="1"/>
        <v>-1.9994573144258523E-2</v>
      </c>
      <c r="Q37" s="23">
        <f ca="1"/>
        <v>1.4173007274918535E-2</v>
      </c>
      <c r="S37" s="27">
        <f t="shared" si="9"/>
        <v>5.0000000000003375E-3</v>
      </c>
      <c r="T37" s="27">
        <f t="shared" ref="T37:T100" si="16">M37-D37</f>
        <v>-2.0999999999999464E-2</v>
      </c>
      <c r="U37" s="23">
        <f t="shared" ref="U37:U100" si="17">M37+D37-2*F37</f>
        <v>5.0000000000003375E-3</v>
      </c>
      <c r="W37" t="s">
        <v>22</v>
      </c>
      <c r="X37" s="28">
        <f ca="1">CORREL($P$32:$P$237,O32:O237)</f>
        <v>-2.0082028099295139E-13</v>
      </c>
      <c r="Y37" s="28">
        <f t="shared" ref="Y37:Z37" ca="1" si="18">CORREL($P$32:$P$237,P32:P237)</f>
        <v>1.0000000000000002</v>
      </c>
      <c r="Z37" s="28">
        <f t="shared" ca="1" si="18"/>
        <v>4.1878447442632197E-10</v>
      </c>
    </row>
    <row r="38" spans="3:26" ht="16" thickBot="1" x14ac:dyDescent="0.25">
      <c r="C38" s="17">
        <f>'Clean Swap Data'!A10</f>
        <v>43194</v>
      </c>
      <c r="D38" s="26">
        <f>'Clean Swap Data'!B10-'Clean Swap Data'!B9</f>
        <v>6.0000000000002274E-3</v>
      </c>
      <c r="E38" s="26">
        <f>'Clean Swap Data'!C10-'Clean Swap Data'!C9</f>
        <v>4.9999999999998934E-3</v>
      </c>
      <c r="F38" s="26">
        <f>'Clean Swap Data'!D10-'Clean Swap Data'!D9</f>
        <v>6.0000000000002274E-3</v>
      </c>
      <c r="G38" s="26">
        <f>'Clean Swap Data'!E10-'Clean Swap Data'!E9</f>
        <v>4.9999999999998934E-3</v>
      </c>
      <c r="H38" s="26">
        <f>'Clean Swap Data'!F10-'Clean Swap Data'!F9</f>
        <v>5.9999999999997833E-3</v>
      </c>
      <c r="I38" s="26">
        <f>'Clean Swap Data'!G10-'Clean Swap Data'!G9</f>
        <v>4.0000000000000036E-3</v>
      </c>
      <c r="J38" s="26">
        <f>'Clean Swap Data'!H10-'Clean Swap Data'!H9</f>
        <v>4.0000000000000036E-3</v>
      </c>
      <c r="K38" s="26">
        <f>'Clean Swap Data'!I10-'Clean Swap Data'!I9</f>
        <v>3.0000000000001137E-3</v>
      </c>
      <c r="L38" s="26">
        <f>'Clean Swap Data'!J10-'Clean Swap Data'!J9</f>
        <v>1.9999999999997797E-3</v>
      </c>
      <c r="M38" s="26">
        <f>'Clean Swap Data'!K10-'Clean Swap Data'!K9</f>
        <v>1.9999999999997797E-3</v>
      </c>
      <c r="O38" s="23">
        <f ca="1"/>
        <v>1.2835877658428758E-2</v>
      </c>
      <c r="P38" s="23">
        <f ca="1"/>
        <v>-6.0000850200844502E-3</v>
      </c>
      <c r="Q38" s="23">
        <f ca="1"/>
        <v>1.4721820591728539E-3</v>
      </c>
      <c r="S38" s="27">
        <f t="shared" si="9"/>
        <v>1.9999999999997797E-3</v>
      </c>
      <c r="T38" s="27">
        <f t="shared" si="16"/>
        <v>-4.0000000000004476E-3</v>
      </c>
      <c r="U38" s="23">
        <f t="shared" si="17"/>
        <v>-4.0000000000004476E-3</v>
      </c>
      <c r="W38" t="s">
        <v>23</v>
      </c>
      <c r="X38" s="29">
        <f ca="1">CORREL($Q$32:$Q$237,O32:O237)</f>
        <v>-3.5054329941646728E-16</v>
      </c>
      <c r="Y38" s="29">
        <f t="shared" ref="Y38:Z38" ca="1" si="19">CORREL($Q$32:$Q$237,P32:P237)</f>
        <v>4.1878447442632197E-10</v>
      </c>
      <c r="Z38" s="29">
        <f t="shared" ca="1" si="19"/>
        <v>0.99999999999999989</v>
      </c>
    </row>
    <row r="39" spans="3:26" x14ac:dyDescent="0.2">
      <c r="C39" s="17">
        <f>'Clean Swap Data'!A11</f>
        <v>43195</v>
      </c>
      <c r="D39" s="26">
        <f>'Clean Swap Data'!B11-'Clean Swap Data'!B10</f>
        <v>1.2999999999999901E-2</v>
      </c>
      <c r="E39" s="26">
        <f>'Clean Swap Data'!C11-'Clean Swap Data'!C10</f>
        <v>2.2000000000000242E-2</v>
      </c>
      <c r="F39" s="26">
        <f>'Clean Swap Data'!D11-'Clean Swap Data'!D10</f>
        <v>2.8000000000000025E-2</v>
      </c>
      <c r="G39" s="26">
        <f>'Clean Swap Data'!E11-'Clean Swap Data'!E10</f>
        <v>3.5000000000000142E-2</v>
      </c>
      <c r="H39" s="26">
        <f>'Clean Swap Data'!F11-'Clean Swap Data'!F10</f>
        <v>4.0000000000000036E-2</v>
      </c>
      <c r="I39" s="26">
        <f>'Clean Swap Data'!G11-'Clean Swap Data'!G10</f>
        <v>4.2999999999999705E-2</v>
      </c>
      <c r="J39" s="26">
        <f>'Clean Swap Data'!H11-'Clean Swap Data'!H10</f>
        <v>4.4999999999999929E-2</v>
      </c>
      <c r="K39" s="26">
        <f>'Clean Swap Data'!I11-'Clean Swap Data'!I10</f>
        <v>4.5999999999999819E-2</v>
      </c>
      <c r="L39" s="26">
        <f>'Clean Swap Data'!J11-'Clean Swap Data'!J10</f>
        <v>4.7000000000000153E-2</v>
      </c>
      <c r="M39" s="26">
        <f>'Clean Swap Data'!K11-'Clean Swap Data'!K10</f>
        <v>4.8999999999999932E-2</v>
      </c>
      <c r="O39" s="23">
        <f ca="1"/>
        <v>0.12028172745020861</v>
      </c>
      <c r="P39" s="23">
        <f ca="1"/>
        <v>1.763751409316041E-2</v>
      </c>
      <c r="Q39" s="23">
        <f ca="1"/>
        <v>8.8352159980498932E-3</v>
      </c>
      <c r="S39" s="27">
        <f t="shared" si="9"/>
        <v>4.8999999999999932E-2</v>
      </c>
      <c r="T39" s="27">
        <f t="shared" si="16"/>
        <v>3.6000000000000032E-2</v>
      </c>
      <c r="U39" s="23">
        <f t="shared" si="17"/>
        <v>5.9999999999997833E-3</v>
      </c>
    </row>
    <row r="40" spans="3:26" x14ac:dyDescent="0.2">
      <c r="C40" s="17">
        <f>'Clean Swap Data'!A12</f>
        <v>43196</v>
      </c>
      <c r="D40" s="26">
        <f>'Clean Swap Data'!B12-'Clean Swap Data'!B11</f>
        <v>-1.399999999999979E-2</v>
      </c>
      <c r="E40" s="26">
        <f>'Clean Swap Data'!C12-'Clean Swap Data'!C11</f>
        <v>-2.4999999999999911E-2</v>
      </c>
      <c r="F40" s="26">
        <f>'Clean Swap Data'!D12-'Clean Swap Data'!D11</f>
        <v>-3.6000000000000032E-2</v>
      </c>
      <c r="G40" s="26">
        <f>'Clean Swap Data'!E12-'Clean Swap Data'!E11</f>
        <v>-4.2000000000000259E-2</v>
      </c>
      <c r="H40" s="26">
        <f>'Clean Swap Data'!F12-'Clean Swap Data'!F11</f>
        <v>-4.5999999999999819E-2</v>
      </c>
      <c r="I40" s="26">
        <f>'Clean Swap Data'!G12-'Clean Swap Data'!G11</f>
        <v>-4.5999999999999819E-2</v>
      </c>
      <c r="J40" s="26">
        <f>'Clean Swap Data'!H12-'Clean Swap Data'!H11</f>
        <v>-4.6999999999999709E-2</v>
      </c>
      <c r="K40" s="26">
        <f>'Clean Swap Data'!I12-'Clean Swap Data'!I11</f>
        <v>-4.7000000000000153E-2</v>
      </c>
      <c r="L40" s="26">
        <f>'Clean Swap Data'!J12-'Clean Swap Data'!J11</f>
        <v>-4.5999999999999819E-2</v>
      </c>
      <c r="M40" s="26">
        <f>'Clean Swap Data'!K12-'Clean Swap Data'!K11</f>
        <v>-4.6999999999999709E-2</v>
      </c>
      <c r="O40" s="23">
        <f ca="1"/>
        <v>-0.12921527408860128</v>
      </c>
      <c r="P40" s="23">
        <f ca="1"/>
        <v>-1.0637043554727851E-2</v>
      </c>
      <c r="Q40" s="23">
        <f ca="1"/>
        <v>-3.8884462085541291E-3</v>
      </c>
      <c r="S40" s="27">
        <f t="shared" si="9"/>
        <v>-4.6999999999999709E-2</v>
      </c>
      <c r="T40" s="27">
        <f t="shared" si="16"/>
        <v>-3.2999999999999918E-2</v>
      </c>
      <c r="U40" s="23">
        <f t="shared" si="17"/>
        <v>1.1000000000000565E-2</v>
      </c>
      <c r="W40" t="s">
        <v>28</v>
      </c>
    </row>
    <row r="41" spans="3:26" x14ac:dyDescent="0.2">
      <c r="C41" s="17">
        <f>'Clean Swap Data'!A13</f>
        <v>43199</v>
      </c>
      <c r="D41" s="26">
        <f>'Clean Swap Data'!B13-'Clean Swap Data'!B12</f>
        <v>0</v>
      </c>
      <c r="E41" s="26">
        <f>'Clean Swap Data'!C13-'Clean Swap Data'!C12</f>
        <v>2.9999999999996696E-3</v>
      </c>
      <c r="F41" s="26">
        <f>'Clean Swap Data'!D13-'Clean Swap Data'!D12</f>
        <v>8.999999999999897E-3</v>
      </c>
      <c r="G41" s="26">
        <f>'Clean Swap Data'!E13-'Clean Swap Data'!E12</f>
        <v>1.3000000000000345E-2</v>
      </c>
      <c r="H41" s="26">
        <f>'Clean Swap Data'!F13-'Clean Swap Data'!F12</f>
        <v>1.6999999999999904E-2</v>
      </c>
      <c r="I41" s="26">
        <f>'Clean Swap Data'!G13-'Clean Swap Data'!G12</f>
        <v>1.7999999999999794E-2</v>
      </c>
      <c r="J41" s="26">
        <f>'Clean Swap Data'!H13-'Clean Swap Data'!H12</f>
        <v>1.8999999999999684E-2</v>
      </c>
      <c r="K41" s="26">
        <f>'Clean Swap Data'!I13-'Clean Swap Data'!I12</f>
        <v>2.0000000000000018E-2</v>
      </c>
      <c r="L41" s="26">
        <f>'Clean Swap Data'!J13-'Clean Swap Data'!J12</f>
        <v>1.8999999999999684E-2</v>
      </c>
      <c r="M41" s="26">
        <f>'Clean Swap Data'!K13-'Clean Swap Data'!K12</f>
        <v>1.8999999999999684E-2</v>
      </c>
      <c r="O41" s="23">
        <f ca="1"/>
        <v>4.6276408600749865E-2</v>
      </c>
      <c r="P41" s="23">
        <f ca="1"/>
        <v>1.3861471875056982E-2</v>
      </c>
      <c r="Q41" s="23">
        <f ca="1"/>
        <v>1.2029581329885213E-3</v>
      </c>
      <c r="S41" s="27">
        <f t="shared" si="9"/>
        <v>1.8999999999999684E-2</v>
      </c>
      <c r="T41" s="27">
        <f t="shared" si="16"/>
        <v>1.8999999999999684E-2</v>
      </c>
      <c r="U41" s="23">
        <f t="shared" si="17"/>
        <v>9.9999999999988987E-4</v>
      </c>
      <c r="W41" t="s">
        <v>21</v>
      </c>
      <c r="X41">
        <f>CORREL($S$32:$S$237,S32:S237)</f>
        <v>1.0000000000000002</v>
      </c>
      <c r="Y41">
        <v>0.88559797338073487</v>
      </c>
      <c r="Z41">
        <v>-0.60072461800138344</v>
      </c>
    </row>
    <row r="42" spans="3:26" x14ac:dyDescent="0.2">
      <c r="C42" s="17">
        <f>'Clean Swap Data'!A14</f>
        <v>43200</v>
      </c>
      <c r="D42" s="26">
        <f>'Clean Swap Data'!B14-'Clean Swap Data'!B13</f>
        <v>1.2000000000000011E-2</v>
      </c>
      <c r="E42" s="26">
        <f>'Clean Swap Data'!C14-'Clean Swap Data'!C13</f>
        <v>1.3000000000000345E-2</v>
      </c>
      <c r="F42" s="26">
        <f>'Clean Swap Data'!D14-'Clean Swap Data'!D13</f>
        <v>9.9999999999997868E-3</v>
      </c>
      <c r="G42" s="26">
        <f>'Clean Swap Data'!E14-'Clean Swap Data'!E13</f>
        <v>5.9999999999997833E-3</v>
      </c>
      <c r="H42" s="26">
        <f>'Clean Swap Data'!F14-'Clean Swap Data'!F13</f>
        <v>9.9999999999988987E-4</v>
      </c>
      <c r="I42" s="26">
        <f>'Clean Swap Data'!G14-'Clean Swap Data'!G13</f>
        <v>-1.9999999999997797E-3</v>
      </c>
      <c r="J42" s="26">
        <f>'Clean Swap Data'!H14-'Clean Swap Data'!H13</f>
        <v>-4.0000000000000036E-3</v>
      </c>
      <c r="K42" s="26">
        <f>'Clean Swap Data'!I14-'Clean Swap Data'!I13</f>
        <v>-5.9999999999997833E-3</v>
      </c>
      <c r="L42" s="26">
        <f>'Clean Swap Data'!J14-'Clean Swap Data'!J13</f>
        <v>-6.9999999999996732E-3</v>
      </c>
      <c r="M42" s="26">
        <f>'Clean Swap Data'!K14-'Clean Swap Data'!K13</f>
        <v>-8.0000000000000071E-3</v>
      </c>
      <c r="O42" s="23">
        <f ca="1"/>
        <v>1.2810795534777563E-3</v>
      </c>
      <c r="P42" s="23">
        <f ca="1"/>
        <v>-2.4755519008849251E-2</v>
      </c>
      <c r="Q42" s="23">
        <f ca="1"/>
        <v>-6.466478953569318E-4</v>
      </c>
      <c r="S42" s="27">
        <f t="shared" si="9"/>
        <v>-8.0000000000000071E-3</v>
      </c>
      <c r="T42" s="27">
        <f t="shared" si="16"/>
        <v>-2.0000000000000018E-2</v>
      </c>
      <c r="U42" s="23">
        <f t="shared" si="17"/>
        <v>-1.599999999999957E-2</v>
      </c>
      <c r="W42" t="s">
        <v>22</v>
      </c>
      <c r="X42" s="23">
        <f>CORREL($T$32:$T$237,S32:S237)</f>
        <v>0.88559797338073487</v>
      </c>
      <c r="Y42" s="23">
        <f t="shared" ref="Y42:Z42" si="20">CORREL($T$32:$T$237,T32:T237)</f>
        <v>0.99999999999999989</v>
      </c>
      <c r="Z42" s="23">
        <f t="shared" si="20"/>
        <v>-0.53173448627768027</v>
      </c>
    </row>
    <row r="43" spans="3:26" x14ac:dyDescent="0.2">
      <c r="C43" s="17">
        <f>'Clean Swap Data'!A15</f>
        <v>43202</v>
      </c>
      <c r="D43" s="26">
        <f>'Clean Swap Data'!B15-'Clean Swap Data'!B14</f>
        <v>4.4999999999999929E-2</v>
      </c>
      <c r="E43" s="26">
        <f>'Clean Swap Data'!C15-'Clean Swap Data'!C14</f>
        <v>3.9999999999999591E-2</v>
      </c>
      <c r="F43" s="26">
        <f>'Clean Swap Data'!D15-'Clean Swap Data'!D14</f>
        <v>3.7000000000000366E-2</v>
      </c>
      <c r="G43" s="26">
        <f>'Clean Swap Data'!E15-'Clean Swap Data'!E14</f>
        <v>3.6999999999999922E-2</v>
      </c>
      <c r="H43" s="26">
        <f>'Clean Swap Data'!F15-'Clean Swap Data'!F14</f>
        <v>3.6999999999999922E-2</v>
      </c>
      <c r="I43" s="26">
        <f>'Clean Swap Data'!G15-'Clean Swap Data'!G14</f>
        <v>3.6000000000000032E-2</v>
      </c>
      <c r="J43" s="26">
        <f>'Clean Swap Data'!H15-'Clean Swap Data'!H14</f>
        <v>3.4000000000000252E-2</v>
      </c>
      <c r="K43" s="26">
        <f>'Clean Swap Data'!I15-'Clean Swap Data'!I14</f>
        <v>3.2000000000000028E-2</v>
      </c>
      <c r="L43" s="26">
        <f>'Clean Swap Data'!J15-'Clean Swap Data'!J14</f>
        <v>2.9999999999999805E-2</v>
      </c>
      <c r="M43" s="26">
        <f>'Clean Swap Data'!K15-'Clean Swap Data'!K14</f>
        <v>2.9000000000000359E-2</v>
      </c>
      <c r="O43" s="23">
        <f ca="1"/>
        <v>0.10796692305461095</v>
      </c>
      <c r="P43" s="23">
        <f ca="1"/>
        <v>-2.9322657355101693E-2</v>
      </c>
      <c r="Q43" s="23">
        <f ca="1"/>
        <v>2.0407024935845657E-2</v>
      </c>
      <c r="S43" s="27">
        <f t="shared" si="9"/>
        <v>2.9000000000000359E-2</v>
      </c>
      <c r="T43" s="27">
        <f t="shared" si="16"/>
        <v>-1.599999999999957E-2</v>
      </c>
      <c r="U43" s="23">
        <f t="shared" si="17"/>
        <v>-4.4408920985006262E-16</v>
      </c>
      <c r="W43" t="s">
        <v>23</v>
      </c>
      <c r="X43" s="23">
        <f>CORREL($U$32:$U$237,S32:S237)</f>
        <v>-0.60072461800138344</v>
      </c>
      <c r="Y43" s="23">
        <f t="shared" ref="Y43:Z43" si="21">CORREL($U$32:$U$237,T32:T237)</f>
        <v>-0.53173448627768027</v>
      </c>
      <c r="Z43" s="23">
        <f t="shared" si="21"/>
        <v>1</v>
      </c>
    </row>
    <row r="44" spans="3:26" x14ac:dyDescent="0.2">
      <c r="C44" s="17">
        <f>'Clean Swap Data'!A16</f>
        <v>43203</v>
      </c>
      <c r="D44" s="26">
        <f>'Clean Swap Data'!B16-'Clean Swap Data'!B15</f>
        <v>1.399999999999979E-2</v>
      </c>
      <c r="E44" s="26">
        <f>'Clean Swap Data'!C16-'Clean Swap Data'!C15</f>
        <v>2.1000000000000352E-2</v>
      </c>
      <c r="F44" s="26">
        <f>'Clean Swap Data'!D16-'Clean Swap Data'!D15</f>
        <v>2.0999999999999908E-2</v>
      </c>
      <c r="G44" s="26">
        <f>'Clean Swap Data'!E16-'Clean Swap Data'!E15</f>
        <v>1.9000000000000128E-2</v>
      </c>
      <c r="H44" s="26">
        <f>'Clean Swap Data'!F16-'Clean Swap Data'!F15</f>
        <v>1.6000000000000014E-2</v>
      </c>
      <c r="I44" s="26">
        <f>'Clean Swap Data'!G16-'Clean Swap Data'!G15</f>
        <v>1.399999999999979E-2</v>
      </c>
      <c r="J44" s="26">
        <f>'Clean Swap Data'!H16-'Clean Swap Data'!H15</f>
        <v>1.2999999999999901E-2</v>
      </c>
      <c r="K44" s="26">
        <f>'Clean Swap Data'!I16-'Clean Swap Data'!I15</f>
        <v>1.2999999999999901E-2</v>
      </c>
      <c r="L44" s="26">
        <f>'Clean Swap Data'!J16-'Clean Swap Data'!J15</f>
        <v>1.2000000000000011E-2</v>
      </c>
      <c r="M44" s="26">
        <f>'Clean Swap Data'!K16-'Clean Swap Data'!K15</f>
        <v>1.0999999999999677E-2</v>
      </c>
      <c r="O44" s="23">
        <f ca="1"/>
        <v>4.7367205158122913E-2</v>
      </c>
      <c r="P44" s="23">
        <f ca="1"/>
        <v>-1.5606932985653191E-2</v>
      </c>
      <c r="Q44" s="23">
        <f ca="1"/>
        <v>7.5995841510910576E-4</v>
      </c>
      <c r="S44" s="27">
        <f t="shared" si="9"/>
        <v>1.0999999999999677E-2</v>
      </c>
      <c r="T44" s="27">
        <f t="shared" si="16"/>
        <v>-3.0000000000001137E-3</v>
      </c>
      <c r="U44" s="23">
        <f t="shared" si="17"/>
        <v>-1.7000000000000348E-2</v>
      </c>
    </row>
    <row r="45" spans="3:26" x14ac:dyDescent="0.2">
      <c r="C45" s="17">
        <f>'Clean Swap Data'!A17</f>
        <v>43206</v>
      </c>
      <c r="D45" s="26">
        <f>'Clean Swap Data'!B17-'Clean Swap Data'!B16</f>
        <v>0</v>
      </c>
      <c r="E45" s="26">
        <f>'Clean Swap Data'!C17-'Clean Swap Data'!C16</f>
        <v>1.8999999999999684E-2</v>
      </c>
      <c r="F45" s="26">
        <f>'Clean Swap Data'!D17-'Clean Swap Data'!D16</f>
        <v>2.0999999999999908E-2</v>
      </c>
      <c r="G45" s="26">
        <f>'Clean Swap Data'!E17-'Clean Swap Data'!E16</f>
        <v>1.7999999999999794E-2</v>
      </c>
      <c r="H45" s="26">
        <f>'Clean Swap Data'!F17-'Clean Swap Data'!F16</f>
        <v>1.5000000000000124E-2</v>
      </c>
      <c r="I45" s="26">
        <f>'Clean Swap Data'!G17-'Clean Swap Data'!G16</f>
        <v>1.4000000000000234E-2</v>
      </c>
      <c r="J45" s="26">
        <f>'Clean Swap Data'!H17-'Clean Swap Data'!H16</f>
        <v>1.2000000000000011E-2</v>
      </c>
      <c r="K45" s="26">
        <f>'Clean Swap Data'!I17-'Clean Swap Data'!I16</f>
        <v>1.1000000000000121E-2</v>
      </c>
      <c r="L45" s="26">
        <f>'Clean Swap Data'!J17-'Clean Swap Data'!J16</f>
        <v>1.1000000000000121E-2</v>
      </c>
      <c r="M45" s="26">
        <f>'Clean Swap Data'!K17-'Clean Swap Data'!K16</f>
        <v>1.0000000000000231E-2</v>
      </c>
      <c r="O45" s="23">
        <f ca="1"/>
        <v>4.2773148196842151E-2</v>
      </c>
      <c r="P45" s="23">
        <f ca="1"/>
        <v>-8.6245596632322161E-3</v>
      </c>
      <c r="Q45" s="23">
        <f ca="1"/>
        <v>-1.0908904924094909E-2</v>
      </c>
      <c r="S45" s="27">
        <f t="shared" si="9"/>
        <v>1.0000000000000231E-2</v>
      </c>
      <c r="T45" s="27">
        <f t="shared" si="16"/>
        <v>1.0000000000000231E-2</v>
      </c>
      <c r="U45" s="23">
        <f t="shared" si="17"/>
        <v>-3.1999999999999584E-2</v>
      </c>
    </row>
    <row r="46" spans="3:26" x14ac:dyDescent="0.2">
      <c r="C46" s="17">
        <f>'Clean Swap Data'!A18</f>
        <v>43207</v>
      </c>
      <c r="D46" s="26">
        <f>'Clean Swap Data'!B18-'Clean Swap Data'!B17</f>
        <v>9.9999999999988987E-4</v>
      </c>
      <c r="E46" s="26">
        <f>'Clean Swap Data'!C18-'Clean Swap Data'!C17</f>
        <v>-1.9999999999997797E-3</v>
      </c>
      <c r="F46" s="26">
        <f>'Clean Swap Data'!D18-'Clean Swap Data'!D17</f>
        <v>0</v>
      </c>
      <c r="G46" s="26">
        <f>'Clean Swap Data'!E18-'Clean Swap Data'!E17</f>
        <v>-1.9999999999997797E-3</v>
      </c>
      <c r="H46" s="26">
        <f>'Clean Swap Data'!F18-'Clean Swap Data'!F17</f>
        <v>-4.0000000000000036E-3</v>
      </c>
      <c r="I46" s="26">
        <f>'Clean Swap Data'!G18-'Clean Swap Data'!G17</f>
        <v>-4.9999999999998934E-3</v>
      </c>
      <c r="J46" s="26">
        <f>'Clean Swap Data'!H18-'Clean Swap Data'!H17</f>
        <v>-4.9999999999998934E-3</v>
      </c>
      <c r="K46" s="26">
        <f>'Clean Swap Data'!I18-'Clean Swap Data'!I17</f>
        <v>-7.0000000000001172E-3</v>
      </c>
      <c r="L46" s="26">
        <f>'Clean Swap Data'!J18-'Clean Swap Data'!J17</f>
        <v>-8.0000000000000071E-3</v>
      </c>
      <c r="M46" s="26">
        <f>'Clean Swap Data'!K18-'Clean Swap Data'!K17</f>
        <v>-8.999999999999897E-3</v>
      </c>
      <c r="O46" s="23">
        <f ca="1"/>
        <v>-1.4034224433670302E-2</v>
      </c>
      <c r="P46" s="23">
        <f ca="1"/>
        <v>-7.6674017663208235E-3</v>
      </c>
      <c r="Q46" s="23">
        <f ca="1"/>
        <v>-1.7884602028114529E-3</v>
      </c>
      <c r="S46" s="27">
        <f t="shared" si="9"/>
        <v>-8.999999999999897E-3</v>
      </c>
      <c r="T46" s="27">
        <f t="shared" si="16"/>
        <v>-9.9999999999997868E-3</v>
      </c>
      <c r="U46" s="23">
        <f t="shared" si="17"/>
        <v>-8.0000000000000071E-3</v>
      </c>
    </row>
    <row r="47" spans="3:26" x14ac:dyDescent="0.2">
      <c r="C47" s="17">
        <f>'Clean Swap Data'!A19</f>
        <v>43208</v>
      </c>
      <c r="D47" s="26">
        <f>'Clean Swap Data'!B19-'Clean Swap Data'!B18</f>
        <v>2.1000000000000352E-2</v>
      </c>
      <c r="E47" s="26">
        <f>'Clean Swap Data'!C19-'Clean Swap Data'!C18</f>
        <v>1.6999999999999904E-2</v>
      </c>
      <c r="F47" s="26">
        <f>'Clean Swap Data'!D19-'Clean Swap Data'!D18</f>
        <v>1.399999999999979E-2</v>
      </c>
      <c r="G47" s="26">
        <f>'Clean Swap Data'!E19-'Clean Swap Data'!E18</f>
        <v>1.2999999999999901E-2</v>
      </c>
      <c r="H47" s="26">
        <f>'Clean Swap Data'!F19-'Clean Swap Data'!F18</f>
        <v>1.4000000000000234E-2</v>
      </c>
      <c r="I47" s="26">
        <f>'Clean Swap Data'!G19-'Clean Swap Data'!G18</f>
        <v>1.0999999999999677E-2</v>
      </c>
      <c r="J47" s="26">
        <f>'Clean Swap Data'!H19-'Clean Swap Data'!H18</f>
        <v>8.999999999999897E-3</v>
      </c>
      <c r="K47" s="26">
        <f>'Clean Swap Data'!I19-'Clean Swap Data'!I18</f>
        <v>8.0000000000000071E-3</v>
      </c>
      <c r="L47" s="26">
        <f>'Clean Swap Data'!J19-'Clean Swap Data'!J18</f>
        <v>5.9999999999997833E-3</v>
      </c>
      <c r="M47" s="26">
        <f>'Clean Swap Data'!K19-'Clean Swap Data'!K18</f>
        <v>4.0000000000000036E-3</v>
      </c>
      <c r="O47" s="23">
        <f ca="1"/>
        <v>3.3693660492544596E-2</v>
      </c>
      <c r="P47" s="23">
        <f ca="1"/>
        <v>-1.9919840923644558E-2</v>
      </c>
      <c r="Q47" s="23">
        <f ca="1"/>
        <v>7.9466703202511462E-3</v>
      </c>
      <c r="S47" s="27">
        <f t="shared" si="9"/>
        <v>4.0000000000000036E-3</v>
      </c>
      <c r="T47" s="27">
        <f t="shared" si="16"/>
        <v>-1.7000000000000348E-2</v>
      </c>
      <c r="U47" s="23">
        <f t="shared" si="17"/>
        <v>-2.9999999999992255E-3</v>
      </c>
    </row>
    <row r="48" spans="3:26" x14ac:dyDescent="0.2">
      <c r="C48" s="17">
        <f>'Clean Swap Data'!A20</f>
        <v>43209</v>
      </c>
      <c r="D48" s="26">
        <f>'Clean Swap Data'!B20-'Clean Swap Data'!B19</f>
        <v>1.9999999999997797E-3</v>
      </c>
      <c r="E48" s="26">
        <f>'Clean Swap Data'!C20-'Clean Swap Data'!C19</f>
        <v>1.2999999999999901E-2</v>
      </c>
      <c r="F48" s="26">
        <f>'Clean Swap Data'!D20-'Clean Swap Data'!D19</f>
        <v>2.3000000000000131E-2</v>
      </c>
      <c r="G48" s="26">
        <f>'Clean Swap Data'!E20-'Clean Swap Data'!E19</f>
        <v>3.4000000000000252E-2</v>
      </c>
      <c r="H48" s="26">
        <f>'Clean Swap Data'!F20-'Clean Swap Data'!F19</f>
        <v>4.0999999999999925E-2</v>
      </c>
      <c r="I48" s="26">
        <f>'Clean Swap Data'!G20-'Clean Swap Data'!G19</f>
        <v>4.8000000000000043E-2</v>
      </c>
      <c r="J48" s="26">
        <f>'Clean Swap Data'!H20-'Clean Swap Data'!H19</f>
        <v>5.2999999999999936E-2</v>
      </c>
      <c r="K48" s="26">
        <f>'Clean Swap Data'!I20-'Clean Swap Data'!I19</f>
        <v>5.699999999999994E-2</v>
      </c>
      <c r="L48" s="26">
        <f>'Clean Swap Data'!J20-'Clean Swap Data'!J19</f>
        <v>6.0000000000000053E-2</v>
      </c>
      <c r="M48" s="26">
        <f>'Clean Swap Data'!K20-'Clean Swap Data'!K19</f>
        <v>6.2999999999999723E-2</v>
      </c>
      <c r="O48" s="23">
        <f ca="1"/>
        <v>0.13232251549293303</v>
      </c>
      <c r="P48" s="23">
        <f ca="1"/>
        <v>4.3208530658721322E-2</v>
      </c>
      <c r="Q48" s="23">
        <f ca="1"/>
        <v>9.5994757754072572E-3</v>
      </c>
      <c r="S48" s="27">
        <f t="shared" si="9"/>
        <v>6.2999999999999723E-2</v>
      </c>
      <c r="T48" s="27">
        <f t="shared" si="16"/>
        <v>6.0999999999999943E-2</v>
      </c>
      <c r="U48" s="23">
        <f t="shared" si="17"/>
        <v>1.899999999999924E-2</v>
      </c>
    </row>
    <row r="49" spans="3:21" x14ac:dyDescent="0.2">
      <c r="C49" s="17">
        <f>'Clean Swap Data'!A21</f>
        <v>43210</v>
      </c>
      <c r="D49" s="26">
        <f>'Clean Swap Data'!B21-'Clean Swap Data'!B20</f>
        <v>1.0000000000000231E-2</v>
      </c>
      <c r="E49" s="26">
        <f>'Clean Swap Data'!C21-'Clean Swap Data'!C20</f>
        <v>1.5000000000000124E-2</v>
      </c>
      <c r="F49" s="26">
        <f>'Clean Swap Data'!D21-'Clean Swap Data'!D20</f>
        <v>2.2000000000000242E-2</v>
      </c>
      <c r="G49" s="26">
        <f>'Clean Swap Data'!E21-'Clean Swap Data'!E20</f>
        <v>2.4999999999999911E-2</v>
      </c>
      <c r="H49" s="26">
        <f>'Clean Swap Data'!F21-'Clean Swap Data'!F20</f>
        <v>2.8999999999999915E-2</v>
      </c>
      <c r="I49" s="26">
        <f>'Clean Swap Data'!G21-'Clean Swap Data'!G20</f>
        <v>3.2999999999999918E-2</v>
      </c>
      <c r="J49" s="26">
        <f>'Clean Swap Data'!H21-'Clean Swap Data'!H20</f>
        <v>3.5000000000000142E-2</v>
      </c>
      <c r="K49" s="26">
        <f>'Clean Swap Data'!I21-'Clean Swap Data'!I20</f>
        <v>3.6999999999999922E-2</v>
      </c>
      <c r="L49" s="26">
        <f>'Clean Swap Data'!J21-'Clean Swap Data'!J20</f>
        <v>3.9000000000000146E-2</v>
      </c>
      <c r="M49" s="26">
        <f>'Clean Swap Data'!K21-'Clean Swap Data'!K20</f>
        <v>4.0000000000000036E-2</v>
      </c>
      <c r="O49" s="23">
        <f ca="1"/>
        <v>9.330155776143037E-2</v>
      </c>
      <c r="P49" s="23">
        <f ca="1"/>
        <v>1.7051841797104249E-2</v>
      </c>
      <c r="Q49" s="23">
        <f ca="1"/>
        <v>8.969780301899901E-3</v>
      </c>
      <c r="S49" s="27">
        <f t="shared" si="9"/>
        <v>4.0000000000000036E-2</v>
      </c>
      <c r="T49" s="27">
        <f t="shared" si="16"/>
        <v>2.9999999999999805E-2</v>
      </c>
      <c r="U49" s="23">
        <f t="shared" si="17"/>
        <v>5.9999999999997833E-3</v>
      </c>
    </row>
    <row r="50" spans="3:21" x14ac:dyDescent="0.2">
      <c r="C50" s="17">
        <f>'Clean Swap Data'!A22</f>
        <v>43213</v>
      </c>
      <c r="D50" s="26">
        <f>'Clean Swap Data'!B22-'Clean Swap Data'!B21</f>
        <v>9.9999999999988987E-4</v>
      </c>
      <c r="E50" s="26">
        <f>'Clean Swap Data'!C22-'Clean Swap Data'!C21</f>
        <v>1.2999999999999901E-2</v>
      </c>
      <c r="F50" s="26">
        <f>'Clean Swap Data'!D22-'Clean Swap Data'!D21</f>
        <v>1.8999999999999684E-2</v>
      </c>
      <c r="G50" s="26">
        <f>'Clean Swap Data'!E22-'Clean Swap Data'!E21</f>
        <v>2.4999999999999911E-2</v>
      </c>
      <c r="H50" s="26">
        <f>'Clean Swap Data'!F22-'Clean Swap Data'!F21</f>
        <v>2.8999999999999915E-2</v>
      </c>
      <c r="I50" s="26">
        <f>'Clean Swap Data'!G22-'Clean Swap Data'!G21</f>
        <v>3.1000000000000139E-2</v>
      </c>
      <c r="J50" s="26">
        <f>'Clean Swap Data'!H22-'Clean Swap Data'!H21</f>
        <v>3.2000000000000028E-2</v>
      </c>
      <c r="K50" s="26">
        <f>'Clean Swap Data'!I22-'Clean Swap Data'!I21</f>
        <v>3.2000000000000028E-2</v>
      </c>
      <c r="L50" s="26">
        <f>'Clean Swap Data'!J22-'Clean Swap Data'!J21</f>
        <v>3.2999999999999918E-2</v>
      </c>
      <c r="M50" s="26">
        <f>'Clean Swap Data'!K22-'Clean Swap Data'!K21</f>
        <v>3.3999999999999808E-2</v>
      </c>
      <c r="O50" s="23">
        <f ca="1"/>
        <v>8.3252204305288249E-2</v>
      </c>
      <c r="P50" s="23">
        <f ca="1"/>
        <v>1.7664632804441451E-2</v>
      </c>
      <c r="Q50" s="23">
        <f ca="1"/>
        <v>-3.0218676976104079E-4</v>
      </c>
      <c r="S50" s="27">
        <f t="shared" si="9"/>
        <v>3.3999999999999808E-2</v>
      </c>
      <c r="T50" s="27">
        <f t="shared" si="16"/>
        <v>3.2999999999999918E-2</v>
      </c>
      <c r="U50" s="23">
        <f t="shared" si="17"/>
        <v>-2.9999999999996696E-3</v>
      </c>
    </row>
    <row r="51" spans="3:21" x14ac:dyDescent="0.2">
      <c r="C51" s="17">
        <f>'Clean Swap Data'!A23</f>
        <v>43215</v>
      </c>
      <c r="D51" s="26">
        <f>'Clean Swap Data'!B23-'Clean Swap Data'!B22</f>
        <v>1.6000000000000014E-2</v>
      </c>
      <c r="E51" s="26">
        <f>'Clean Swap Data'!C23-'Clean Swap Data'!C22</f>
        <v>1.2000000000000011E-2</v>
      </c>
      <c r="F51" s="26">
        <f>'Clean Swap Data'!D23-'Clean Swap Data'!D22</f>
        <v>1.3000000000000345E-2</v>
      </c>
      <c r="G51" s="26">
        <f>'Clean Swap Data'!E23-'Clean Swap Data'!E22</f>
        <v>1.6999999999999904E-2</v>
      </c>
      <c r="H51" s="26">
        <f>'Clean Swap Data'!F23-'Clean Swap Data'!F22</f>
        <v>2.3000000000000131E-2</v>
      </c>
      <c r="I51" s="26">
        <f>'Clean Swap Data'!G23-'Clean Swap Data'!G22</f>
        <v>2.8000000000000025E-2</v>
      </c>
      <c r="J51" s="26">
        <f>'Clean Swap Data'!H23-'Clean Swap Data'!H22</f>
        <v>3.2999999999999918E-2</v>
      </c>
      <c r="K51" s="26">
        <f>'Clean Swap Data'!I23-'Clean Swap Data'!I22</f>
        <v>3.6000000000000032E-2</v>
      </c>
      <c r="L51" s="26">
        <f>'Clean Swap Data'!J23-'Clean Swap Data'!J22</f>
        <v>3.7999999999999812E-2</v>
      </c>
      <c r="M51" s="26">
        <f>'Clean Swap Data'!K23-'Clean Swap Data'!K22</f>
        <v>3.9000000000000146E-2</v>
      </c>
      <c r="O51" s="23">
        <f ca="1"/>
        <v>8.217560580911884E-2</v>
      </c>
      <c r="P51" s="23">
        <f ca="1"/>
        <v>1.9190216943665472E-2</v>
      </c>
      <c r="Q51" s="23">
        <f ca="1"/>
        <v>1.9425662478215727E-2</v>
      </c>
      <c r="S51" s="27">
        <f t="shared" si="9"/>
        <v>3.9000000000000146E-2</v>
      </c>
      <c r="T51" s="27">
        <f t="shared" si="16"/>
        <v>2.3000000000000131E-2</v>
      </c>
      <c r="U51" s="23">
        <f t="shared" si="17"/>
        <v>2.8999999999999471E-2</v>
      </c>
    </row>
    <row r="52" spans="3:21" x14ac:dyDescent="0.2">
      <c r="C52" s="17">
        <f>'Clean Swap Data'!A24</f>
        <v>43216</v>
      </c>
      <c r="D52" s="26">
        <f>'Clean Swap Data'!B24-'Clean Swap Data'!B23</f>
        <v>-1.2999999999999901E-2</v>
      </c>
      <c r="E52" s="26">
        <f>'Clean Swap Data'!C24-'Clean Swap Data'!C23</f>
        <v>-9.9999999999997868E-3</v>
      </c>
      <c r="F52" s="26">
        <f>'Clean Swap Data'!D24-'Clean Swap Data'!D23</f>
        <v>-1.0000000000000231E-2</v>
      </c>
      <c r="G52" s="26">
        <f>'Clean Swap Data'!E24-'Clean Swap Data'!E23</f>
        <v>-1.2999999999999901E-2</v>
      </c>
      <c r="H52" s="26">
        <f>'Clean Swap Data'!F24-'Clean Swap Data'!F23</f>
        <v>-1.6000000000000014E-2</v>
      </c>
      <c r="I52" s="26">
        <f>'Clean Swap Data'!G24-'Clean Swap Data'!G23</f>
        <v>-1.6999999999999904E-2</v>
      </c>
      <c r="J52" s="26">
        <f>'Clean Swap Data'!H24-'Clean Swap Data'!H23</f>
        <v>-1.6999999999999904E-2</v>
      </c>
      <c r="K52" s="26">
        <f>'Clean Swap Data'!I24-'Clean Swap Data'!I23</f>
        <v>-1.6999999999999904E-2</v>
      </c>
      <c r="L52" s="26">
        <f>'Clean Swap Data'!J24-'Clean Swap Data'!J23</f>
        <v>-1.7999999999999794E-2</v>
      </c>
      <c r="M52" s="26">
        <f>'Clean Swap Data'!K24-'Clean Swap Data'!K23</f>
        <v>-1.6999999999999904E-2</v>
      </c>
      <c r="O52" s="23">
        <f ca="1"/>
        <v>-4.6611854951276455E-2</v>
      </c>
      <c r="P52" s="23">
        <f ca="1"/>
        <v>-1.4167917235327152E-3</v>
      </c>
      <c r="Q52" s="23">
        <f ca="1"/>
        <v>-9.5092942506370907E-3</v>
      </c>
      <c r="S52" s="27">
        <f t="shared" si="9"/>
        <v>-1.6999999999999904E-2</v>
      </c>
      <c r="T52" s="27">
        <f t="shared" si="16"/>
        <v>-4.0000000000000036E-3</v>
      </c>
      <c r="U52" s="23">
        <f t="shared" si="17"/>
        <v>-9.9999999999993427E-3</v>
      </c>
    </row>
    <row r="53" spans="3:21" x14ac:dyDescent="0.2">
      <c r="C53" s="17">
        <f>'Clean Swap Data'!A25</f>
        <v>43217</v>
      </c>
      <c r="D53" s="26">
        <f>'Clean Swap Data'!B25-'Clean Swap Data'!B24</f>
        <v>-9.0000000000003411E-3</v>
      </c>
      <c r="E53" s="26">
        <f>'Clean Swap Data'!C25-'Clean Swap Data'!C24</f>
        <v>-2.0000000000000018E-2</v>
      </c>
      <c r="F53" s="26">
        <f>'Clean Swap Data'!D25-'Clean Swap Data'!D24</f>
        <v>-2.3000000000000131E-2</v>
      </c>
      <c r="G53" s="26">
        <f>'Clean Swap Data'!E25-'Clean Swap Data'!E24</f>
        <v>-2.7000000000000135E-2</v>
      </c>
      <c r="H53" s="26">
        <f>'Clean Swap Data'!F25-'Clean Swap Data'!F24</f>
        <v>-3.0000000000000249E-2</v>
      </c>
      <c r="I53" s="26">
        <f>'Clean Swap Data'!G25-'Clean Swap Data'!G24</f>
        <v>-3.2999999999999918E-2</v>
      </c>
      <c r="J53" s="26">
        <f>'Clean Swap Data'!H25-'Clean Swap Data'!H24</f>
        <v>-3.6000000000000032E-2</v>
      </c>
      <c r="K53" s="26">
        <f>'Clean Swap Data'!I25-'Clean Swap Data'!I24</f>
        <v>-3.7999999999999812E-2</v>
      </c>
      <c r="L53" s="26">
        <f>'Clean Swap Data'!J25-'Clean Swap Data'!J24</f>
        <v>-3.9000000000000146E-2</v>
      </c>
      <c r="M53" s="26">
        <f>'Clean Swap Data'!K25-'Clean Swap Data'!K24</f>
        <v>-4.1999999999999815E-2</v>
      </c>
      <c r="O53" s="23">
        <f ca="1"/>
        <v>-9.7213107521050501E-2</v>
      </c>
      <c r="P53" s="23">
        <f ca="1"/>
        <v>-1.5493191991957736E-2</v>
      </c>
      <c r="Q53" s="23">
        <f ca="1"/>
        <v>-6.7407632313177847E-3</v>
      </c>
      <c r="S53" s="27">
        <f t="shared" si="9"/>
        <v>-4.1999999999999815E-2</v>
      </c>
      <c r="T53" s="27">
        <f t="shared" si="16"/>
        <v>-3.2999999999999474E-2</v>
      </c>
      <c r="U53" s="23">
        <f t="shared" si="17"/>
        <v>-4.9999999999998934E-3</v>
      </c>
    </row>
    <row r="54" spans="3:21" x14ac:dyDescent="0.2">
      <c r="C54" s="17">
        <f>'Clean Swap Data'!A26</f>
        <v>43220</v>
      </c>
      <c r="D54" s="26">
        <f>'Clean Swap Data'!B26-'Clean Swap Data'!B25</f>
        <v>1.2000000000000011E-2</v>
      </c>
      <c r="E54" s="26">
        <f>'Clean Swap Data'!C26-'Clean Swap Data'!C25</f>
        <v>2.0999999999999908E-2</v>
      </c>
      <c r="F54" s="26">
        <f>'Clean Swap Data'!D26-'Clean Swap Data'!D25</f>
        <v>1.6000000000000014E-2</v>
      </c>
      <c r="G54" s="26">
        <f>'Clean Swap Data'!E26-'Clean Swap Data'!E25</f>
        <v>1.2999999999999901E-2</v>
      </c>
      <c r="H54" s="26">
        <f>'Clean Swap Data'!F26-'Clean Swap Data'!F25</f>
        <v>9.0000000000003411E-3</v>
      </c>
      <c r="I54" s="26">
        <f>'Clean Swap Data'!G26-'Clean Swap Data'!G25</f>
        <v>4.9999999999998934E-3</v>
      </c>
      <c r="J54" s="26">
        <f>'Clean Swap Data'!H26-'Clean Swap Data'!H25</f>
        <v>1.9999999999997797E-3</v>
      </c>
      <c r="K54" s="26">
        <f>'Clean Swap Data'!I26-'Clean Swap Data'!I25</f>
        <v>-1.000000000000334E-3</v>
      </c>
      <c r="L54" s="26">
        <f>'Clean Swap Data'!J26-'Clean Swap Data'!J25</f>
        <v>-2.9999999999996696E-3</v>
      </c>
      <c r="M54" s="26">
        <f>'Clean Swap Data'!K26-'Clean Swap Data'!K25</f>
        <v>-4.0000000000000036E-3</v>
      </c>
      <c r="O54" s="23">
        <f ca="1"/>
        <v>1.9316235774500562E-2</v>
      </c>
      <c r="P54" s="23">
        <f ca="1"/>
        <v>-2.729009906247927E-2</v>
      </c>
      <c r="Q54" s="23">
        <f ca="1"/>
        <v>-4.6989971680944072E-3</v>
      </c>
      <c r="S54" s="27">
        <f t="shared" si="9"/>
        <v>-4.0000000000000036E-3</v>
      </c>
      <c r="T54" s="27">
        <f t="shared" si="16"/>
        <v>-1.6000000000000014E-2</v>
      </c>
      <c r="U54" s="23">
        <f t="shared" si="17"/>
        <v>-2.4000000000000021E-2</v>
      </c>
    </row>
    <row r="55" spans="3:21" x14ac:dyDescent="0.2">
      <c r="C55" s="17">
        <f>'Clean Swap Data'!A27</f>
        <v>43221</v>
      </c>
      <c r="D55" s="26">
        <f>'Clean Swap Data'!B27-'Clean Swap Data'!B26</f>
        <v>3.0000000000001137E-3</v>
      </c>
      <c r="E55" s="26">
        <f>'Clean Swap Data'!C27-'Clean Swap Data'!C26</f>
        <v>8.999999999999897E-3</v>
      </c>
      <c r="F55" s="26">
        <f>'Clean Swap Data'!D27-'Clean Swap Data'!D26</f>
        <v>1.1000000000000121E-2</v>
      </c>
      <c r="G55" s="26">
        <f>'Clean Swap Data'!E27-'Clean Swap Data'!E26</f>
        <v>1.4000000000000234E-2</v>
      </c>
      <c r="H55" s="26">
        <f>'Clean Swap Data'!F27-'Clean Swap Data'!F26</f>
        <v>1.499999999999968E-2</v>
      </c>
      <c r="I55" s="26">
        <f>'Clean Swap Data'!G27-'Clean Swap Data'!G26</f>
        <v>1.6999999999999904E-2</v>
      </c>
      <c r="J55" s="26">
        <f>'Clean Swap Data'!H27-'Clean Swap Data'!H26</f>
        <v>1.8000000000000238E-2</v>
      </c>
      <c r="K55" s="26">
        <f>'Clean Swap Data'!I27-'Clean Swap Data'!I26</f>
        <v>1.9000000000000128E-2</v>
      </c>
      <c r="L55" s="26">
        <f>'Clean Swap Data'!J27-'Clean Swap Data'!J26</f>
        <v>2.0000000000000018E-2</v>
      </c>
      <c r="M55" s="26">
        <f>'Clean Swap Data'!K27-'Clean Swap Data'!K26</f>
        <v>1.9999999999999574E-2</v>
      </c>
      <c r="O55" s="23">
        <f ca="1"/>
        <v>4.8174321659287908E-2</v>
      </c>
      <c r="P55" s="23">
        <f ca="1"/>
        <v>8.8724624446142215E-3</v>
      </c>
      <c r="Q55" s="23">
        <f ca="1"/>
        <v>2.189842008496549E-3</v>
      </c>
      <c r="S55" s="27">
        <f t="shared" si="9"/>
        <v>1.9999999999999574E-2</v>
      </c>
      <c r="T55" s="27">
        <f t="shared" si="16"/>
        <v>1.699999999999946E-2</v>
      </c>
      <c r="U55" s="23">
        <f t="shared" si="17"/>
        <v>9.9999999999944578E-4</v>
      </c>
    </row>
    <row r="56" spans="3:21" x14ac:dyDescent="0.2">
      <c r="C56" s="17">
        <f>'Clean Swap Data'!A28</f>
        <v>43222</v>
      </c>
      <c r="D56" s="26">
        <f>'Clean Swap Data'!B28-'Clean Swap Data'!B27</f>
        <v>1.0000000000000231E-2</v>
      </c>
      <c r="E56" s="26">
        <f>'Clean Swap Data'!C28-'Clean Swap Data'!C27</f>
        <v>1.4000000000000234E-2</v>
      </c>
      <c r="F56" s="26">
        <f>'Clean Swap Data'!D28-'Clean Swap Data'!D27</f>
        <v>1.2999999999999901E-2</v>
      </c>
      <c r="G56" s="26">
        <f>'Clean Swap Data'!E28-'Clean Swap Data'!E27</f>
        <v>8.999999999999897E-3</v>
      </c>
      <c r="H56" s="26">
        <f>'Clean Swap Data'!F28-'Clean Swap Data'!F27</f>
        <v>5.0000000000003375E-3</v>
      </c>
      <c r="I56" s="26">
        <f>'Clean Swap Data'!G28-'Clean Swap Data'!G27</f>
        <v>9.9999999999988987E-4</v>
      </c>
      <c r="J56" s="26">
        <f>'Clean Swap Data'!H28-'Clean Swap Data'!H27</f>
        <v>-2.0000000000002238E-3</v>
      </c>
      <c r="K56" s="26">
        <f>'Clean Swap Data'!I28-'Clean Swap Data'!I27</f>
        <v>-1.9999999999997797E-3</v>
      </c>
      <c r="L56" s="26">
        <f>'Clean Swap Data'!J28-'Clean Swap Data'!J27</f>
        <v>-5.0000000000003375E-3</v>
      </c>
      <c r="M56" s="26">
        <f>'Clean Swap Data'!K28-'Clean Swap Data'!K27</f>
        <v>-5.9999999999997833E-3</v>
      </c>
      <c r="O56" s="23">
        <f ca="1"/>
        <v>9.0840667770265907E-3</v>
      </c>
      <c r="P56" s="23">
        <f ca="1"/>
        <v>-2.3299622009571364E-2</v>
      </c>
      <c r="Q56" s="23">
        <f ca="1"/>
        <v>-3.4395295552827002E-3</v>
      </c>
      <c r="S56" s="27">
        <f t="shared" si="9"/>
        <v>-5.9999999999997833E-3</v>
      </c>
      <c r="T56" s="27">
        <f t="shared" si="16"/>
        <v>-1.6000000000000014E-2</v>
      </c>
      <c r="U56" s="23">
        <f t="shared" si="17"/>
        <v>-2.1999999999999353E-2</v>
      </c>
    </row>
    <row r="57" spans="3:21" x14ac:dyDescent="0.2">
      <c r="C57" s="17">
        <f>'Clean Swap Data'!A29</f>
        <v>43223</v>
      </c>
      <c r="D57" s="26">
        <f>'Clean Swap Data'!B29-'Clean Swap Data'!B28</f>
        <v>-7.0000000000001172E-3</v>
      </c>
      <c r="E57" s="26">
        <f>'Clean Swap Data'!C29-'Clean Swap Data'!C28</f>
        <v>-3.2999999999999918E-2</v>
      </c>
      <c r="F57" s="26">
        <f>'Clean Swap Data'!D29-'Clean Swap Data'!D28</f>
        <v>-3.7999999999999812E-2</v>
      </c>
      <c r="G57" s="26">
        <f>'Clean Swap Data'!E29-'Clean Swap Data'!E28</f>
        <v>-4.0999999999999925E-2</v>
      </c>
      <c r="H57" s="26">
        <f>'Clean Swap Data'!F29-'Clean Swap Data'!F28</f>
        <v>-4.1000000000000369E-2</v>
      </c>
      <c r="I57" s="26">
        <f>'Clean Swap Data'!G29-'Clean Swap Data'!G28</f>
        <v>-3.8999999999999702E-2</v>
      </c>
      <c r="J57" s="26">
        <f>'Clean Swap Data'!H29-'Clean Swap Data'!H28</f>
        <v>-3.6999999999999922E-2</v>
      </c>
      <c r="K57" s="26">
        <f>'Clean Swap Data'!I29-'Clean Swap Data'!I28</f>
        <v>-3.6000000000000032E-2</v>
      </c>
      <c r="L57" s="26">
        <f>'Clean Swap Data'!J29-'Clean Swap Data'!J28</f>
        <v>-3.3999999999999808E-2</v>
      </c>
      <c r="M57" s="26">
        <f>'Clean Swap Data'!K29-'Clean Swap Data'!K28</f>
        <v>-3.2000000000000028E-2</v>
      </c>
      <c r="O57" s="23">
        <f ca="1"/>
        <v>-0.11037921133976328</v>
      </c>
      <c r="P57" s="23">
        <f ca="1"/>
        <v>4.083531921814678E-3</v>
      </c>
      <c r="Q57" s="23">
        <f ca="1"/>
        <v>1.0090945023323663E-2</v>
      </c>
      <c r="S57" s="27">
        <f t="shared" si="9"/>
        <v>-3.2000000000000028E-2</v>
      </c>
      <c r="T57" s="27">
        <f t="shared" si="16"/>
        <v>-2.4999999999999911E-2</v>
      </c>
      <c r="U57" s="23">
        <f t="shared" si="17"/>
        <v>3.6999999999999478E-2</v>
      </c>
    </row>
    <row r="58" spans="3:21" x14ac:dyDescent="0.2">
      <c r="C58" s="17">
        <f>'Clean Swap Data'!A30</f>
        <v>43224</v>
      </c>
      <c r="D58" s="26">
        <f>'Clean Swap Data'!B30-'Clean Swap Data'!B29</f>
        <v>1.5000000000000124E-2</v>
      </c>
      <c r="E58" s="26">
        <f>'Clean Swap Data'!C30-'Clean Swap Data'!C29</f>
        <v>1.599999999999957E-2</v>
      </c>
      <c r="F58" s="26">
        <f>'Clean Swap Data'!D30-'Clean Swap Data'!D29</f>
        <v>1.2000000000000011E-2</v>
      </c>
      <c r="G58" s="26">
        <f>'Clean Swap Data'!E30-'Clean Swap Data'!E29</f>
        <v>1.2999999999999901E-2</v>
      </c>
      <c r="H58" s="26">
        <f>'Clean Swap Data'!F30-'Clean Swap Data'!F29</f>
        <v>1.3000000000000345E-2</v>
      </c>
      <c r="I58" s="26">
        <f>'Clean Swap Data'!G30-'Clean Swap Data'!G29</f>
        <v>1.2999999999999901E-2</v>
      </c>
      <c r="J58" s="26">
        <f>'Clean Swap Data'!H30-'Clean Swap Data'!H29</f>
        <v>1.2999999999999901E-2</v>
      </c>
      <c r="K58" s="26">
        <f>'Clean Swap Data'!I30-'Clean Swap Data'!I29</f>
        <v>1.2999999999999901E-2</v>
      </c>
      <c r="L58" s="26">
        <f>'Clean Swap Data'!J30-'Clean Swap Data'!J29</f>
        <v>1.2999999999999901E-2</v>
      </c>
      <c r="M58" s="26">
        <f>'Clean Swap Data'!K30-'Clean Swap Data'!K29</f>
        <v>1.2999999999999901E-2</v>
      </c>
      <c r="O58" s="23">
        <f ca="1"/>
        <v>4.0903428446642284E-2</v>
      </c>
      <c r="P58" s="23">
        <f ca="1"/>
        <v>-7.9909582511209099E-3</v>
      </c>
      <c r="Q58" s="23">
        <f ca="1"/>
        <v>7.5772949429193347E-3</v>
      </c>
      <c r="S58" s="27">
        <f t="shared" si="9"/>
        <v>1.2999999999999901E-2</v>
      </c>
      <c r="T58" s="27">
        <f t="shared" si="16"/>
        <v>-2.0000000000002238E-3</v>
      </c>
      <c r="U58" s="23">
        <f t="shared" si="17"/>
        <v>4.0000000000000036E-3</v>
      </c>
    </row>
    <row r="59" spans="3:21" x14ac:dyDescent="0.2">
      <c r="C59" s="17">
        <f>'Clean Swap Data'!A31</f>
        <v>43227</v>
      </c>
      <c r="D59" s="26">
        <f>'Clean Swap Data'!B31-'Clean Swap Data'!B30</f>
        <v>1.9999999999997797E-3</v>
      </c>
      <c r="E59" s="26">
        <f>'Clean Swap Data'!C31-'Clean Swap Data'!C30</f>
        <v>1.2000000000000011E-2</v>
      </c>
      <c r="F59" s="26">
        <f>'Clean Swap Data'!D31-'Clean Swap Data'!D30</f>
        <v>1.399999999999979E-2</v>
      </c>
      <c r="G59" s="26">
        <f>'Clean Swap Data'!E31-'Clean Swap Data'!E30</f>
        <v>1.4000000000000234E-2</v>
      </c>
      <c r="H59" s="26">
        <f>'Clean Swap Data'!F31-'Clean Swap Data'!F30</f>
        <v>1.2000000000000011E-2</v>
      </c>
      <c r="I59" s="26">
        <f>'Clean Swap Data'!G31-'Clean Swap Data'!G30</f>
        <v>1.2999999999999901E-2</v>
      </c>
      <c r="J59" s="26">
        <f>'Clean Swap Data'!H31-'Clean Swap Data'!H30</f>
        <v>1.2000000000000011E-2</v>
      </c>
      <c r="K59" s="26">
        <f>'Clean Swap Data'!I31-'Clean Swap Data'!I30</f>
        <v>1.2000000000000011E-2</v>
      </c>
      <c r="L59" s="26">
        <f>'Clean Swap Data'!J31-'Clean Swap Data'!J30</f>
        <v>1.2000000000000011E-2</v>
      </c>
      <c r="M59" s="26">
        <f>'Clean Swap Data'!K31-'Clean Swap Data'!K30</f>
        <v>1.1000000000000121E-2</v>
      </c>
      <c r="O59" s="23">
        <f ca="1"/>
        <v>3.7209530750117771E-2</v>
      </c>
      <c r="P59" s="23">
        <f ca="1"/>
        <v>-1.8468860075609292E-3</v>
      </c>
      <c r="Q59" s="23">
        <f ca="1"/>
        <v>-3.9017890313171378E-3</v>
      </c>
      <c r="S59" s="27">
        <f t="shared" si="9"/>
        <v>1.1000000000000121E-2</v>
      </c>
      <c r="T59" s="27">
        <f t="shared" si="16"/>
        <v>9.0000000000003411E-3</v>
      </c>
      <c r="U59" s="23">
        <f t="shared" si="17"/>
        <v>-1.499999999999968E-2</v>
      </c>
    </row>
    <row r="60" spans="3:21" x14ac:dyDescent="0.2">
      <c r="C60" s="17">
        <f>'Clean Swap Data'!A32</f>
        <v>43228</v>
      </c>
      <c r="D60" s="26">
        <f>'Clean Swap Data'!B32-'Clean Swap Data'!B31</f>
        <v>-4.9999999999998934E-3</v>
      </c>
      <c r="E60" s="26">
        <f>'Clean Swap Data'!C32-'Clean Swap Data'!C31</f>
        <v>5.0000000000003375E-3</v>
      </c>
      <c r="F60" s="26">
        <f>'Clean Swap Data'!D32-'Clean Swap Data'!D31</f>
        <v>1.2000000000000011E-2</v>
      </c>
      <c r="G60" s="26">
        <f>'Clean Swap Data'!E32-'Clean Swap Data'!E31</f>
        <v>1.6000000000000014E-2</v>
      </c>
      <c r="H60" s="26">
        <f>'Clean Swap Data'!F32-'Clean Swap Data'!F31</f>
        <v>2.0000000000000018E-2</v>
      </c>
      <c r="I60" s="26">
        <f>'Clean Swap Data'!G32-'Clean Swap Data'!G31</f>
        <v>2.0000000000000018E-2</v>
      </c>
      <c r="J60" s="26">
        <f>'Clean Swap Data'!H32-'Clean Swap Data'!H31</f>
        <v>2.3000000000000131E-2</v>
      </c>
      <c r="K60" s="26">
        <f>'Clean Swap Data'!I32-'Clean Swap Data'!I31</f>
        <v>2.3000000000000131E-2</v>
      </c>
      <c r="L60" s="26">
        <f>'Clean Swap Data'!J32-'Clean Swap Data'!J31</f>
        <v>2.4999999999999911E-2</v>
      </c>
      <c r="M60" s="26">
        <f>'Clean Swap Data'!K32-'Clean Swap Data'!K31</f>
        <v>2.5999999999999801E-2</v>
      </c>
      <c r="O60" s="23">
        <f ca="1"/>
        <v>5.6685969766571129E-2</v>
      </c>
      <c r="P60" s="23">
        <f ca="1"/>
        <v>1.9595986842438975E-2</v>
      </c>
      <c r="Q60" s="23">
        <f ca="1"/>
        <v>-2.3973543607435721E-3</v>
      </c>
      <c r="S60" s="27">
        <f t="shared" si="9"/>
        <v>2.5999999999999801E-2</v>
      </c>
      <c r="T60" s="27">
        <f t="shared" si="16"/>
        <v>3.0999999999999694E-2</v>
      </c>
      <c r="U60" s="23">
        <f t="shared" si="17"/>
        <v>-3.0000000000001137E-3</v>
      </c>
    </row>
    <row r="61" spans="3:21" x14ac:dyDescent="0.2">
      <c r="C61" s="17">
        <f>'Clean Swap Data'!A33</f>
        <v>43229</v>
      </c>
      <c r="D61" s="26">
        <f>'Clean Swap Data'!B33-'Clean Swap Data'!B32</f>
        <v>4.9999999999998934E-3</v>
      </c>
      <c r="E61" s="26">
        <f>'Clean Swap Data'!C33-'Clean Swap Data'!C32</f>
        <v>4.0000000000000036E-3</v>
      </c>
      <c r="F61" s="26">
        <f>'Clean Swap Data'!D33-'Clean Swap Data'!D32</f>
        <v>8.0000000000000071E-3</v>
      </c>
      <c r="G61" s="26">
        <f>'Clean Swap Data'!E33-'Clean Swap Data'!E32</f>
        <v>6.9999999999996732E-3</v>
      </c>
      <c r="H61" s="26">
        <f>'Clean Swap Data'!F33-'Clean Swap Data'!F32</f>
        <v>8.999999999999897E-3</v>
      </c>
      <c r="I61" s="26">
        <f>'Clean Swap Data'!G33-'Clean Swap Data'!G32</f>
        <v>8.999999999999897E-3</v>
      </c>
      <c r="J61" s="26">
        <f>'Clean Swap Data'!H33-'Clean Swap Data'!H32</f>
        <v>8.0000000000000071E-3</v>
      </c>
      <c r="K61" s="26">
        <f>'Clean Swap Data'!I33-'Clean Swap Data'!I32</f>
        <v>8.999999999999897E-3</v>
      </c>
      <c r="L61" s="26">
        <f>'Clean Swap Data'!J33-'Clean Swap Data'!J32</f>
        <v>8.0000000000000071E-3</v>
      </c>
      <c r="M61" s="26">
        <f>'Clean Swap Data'!K33-'Clean Swap Data'!K32</f>
        <v>1.0000000000000231E-2</v>
      </c>
      <c r="O61" s="23">
        <f ca="1"/>
        <v>2.4659983811013343E-2</v>
      </c>
      <c r="P61" s="23">
        <f ca="1"/>
        <v>1.0090323192101184E-3</v>
      </c>
      <c r="Q61" s="23">
        <f ca="1"/>
        <v>2.8157518489961711E-3</v>
      </c>
      <c r="S61" s="27">
        <f t="shared" si="9"/>
        <v>1.0000000000000231E-2</v>
      </c>
      <c r="T61" s="27">
        <f t="shared" si="16"/>
        <v>5.0000000000003375E-3</v>
      </c>
      <c r="U61" s="23">
        <f t="shared" si="17"/>
        <v>-9.9999999999988987E-4</v>
      </c>
    </row>
    <row r="62" spans="3:21" x14ac:dyDescent="0.2">
      <c r="C62" s="17">
        <f>'Clean Swap Data'!A34</f>
        <v>43230</v>
      </c>
      <c r="D62" s="26">
        <f>'Clean Swap Data'!B34-'Clean Swap Data'!B33</f>
        <v>-4.0000000000000036E-3</v>
      </c>
      <c r="E62" s="26">
        <f>'Clean Swap Data'!C34-'Clean Swap Data'!C33</f>
        <v>-5.0000000000003375E-3</v>
      </c>
      <c r="F62" s="26">
        <f>'Clean Swap Data'!D34-'Clean Swap Data'!D33</f>
        <v>-8.0000000000000071E-3</v>
      </c>
      <c r="G62" s="26">
        <f>'Clean Swap Data'!E34-'Clean Swap Data'!E33</f>
        <v>-8.0000000000000071E-3</v>
      </c>
      <c r="H62" s="26">
        <f>'Clean Swap Data'!F34-'Clean Swap Data'!F33</f>
        <v>-1.0000000000000231E-2</v>
      </c>
      <c r="I62" s="26">
        <f>'Clean Swap Data'!G34-'Clean Swap Data'!G33</f>
        <v>-1.0999999999999677E-2</v>
      </c>
      <c r="J62" s="26">
        <f>'Clean Swap Data'!H34-'Clean Swap Data'!H33</f>
        <v>-1.1000000000000121E-2</v>
      </c>
      <c r="K62" s="26">
        <f>'Clean Swap Data'!I34-'Clean Swap Data'!I33</f>
        <v>-1.2000000000000011E-2</v>
      </c>
      <c r="L62" s="26">
        <f>'Clean Swap Data'!J34-'Clean Swap Data'!J33</f>
        <v>-1.2000000000000011E-2</v>
      </c>
      <c r="M62" s="26">
        <f>'Clean Swap Data'!K34-'Clean Swap Data'!K33</f>
        <v>-1.2999999999999901E-2</v>
      </c>
      <c r="O62" s="23">
        <f ca="1"/>
        <v>-3.0599519824364856E-2</v>
      </c>
      <c r="P62" s="23">
        <f ca="1"/>
        <v>-4.51961476792465E-3</v>
      </c>
      <c r="Q62" s="23">
        <f ca="1"/>
        <v>-3.09168855519218E-3</v>
      </c>
      <c r="S62" s="27">
        <f t="shared" si="9"/>
        <v>-1.2999999999999901E-2</v>
      </c>
      <c r="T62" s="27">
        <f t="shared" si="16"/>
        <v>-8.999999999999897E-3</v>
      </c>
      <c r="U62" s="23">
        <f t="shared" si="17"/>
        <v>-9.9999999999988987E-4</v>
      </c>
    </row>
    <row r="63" spans="3:21" x14ac:dyDescent="0.2">
      <c r="C63" s="17">
        <f>'Clean Swap Data'!A35</f>
        <v>43231</v>
      </c>
      <c r="D63" s="26">
        <f>'Clean Swap Data'!B35-'Clean Swap Data'!B34</f>
        <v>-2.5999999999999801E-2</v>
      </c>
      <c r="E63" s="26">
        <f>'Clean Swap Data'!C35-'Clean Swap Data'!C34</f>
        <v>-6.9999999999996732E-3</v>
      </c>
      <c r="F63" s="26">
        <f>'Clean Swap Data'!D35-'Clean Swap Data'!D34</f>
        <v>-2.9999999999996696E-3</v>
      </c>
      <c r="G63" s="26">
        <f>'Clean Swap Data'!E35-'Clean Swap Data'!E34</f>
        <v>-1.9999999999997797E-3</v>
      </c>
      <c r="H63" s="26">
        <f>'Clean Swap Data'!F35-'Clean Swap Data'!F34</f>
        <v>0</v>
      </c>
      <c r="I63" s="26">
        <f>'Clean Swap Data'!G35-'Clean Swap Data'!G34</f>
        <v>9.9999999999988987E-4</v>
      </c>
      <c r="J63" s="26">
        <f>'Clean Swap Data'!H35-'Clean Swap Data'!H34</f>
        <v>1.000000000000334E-3</v>
      </c>
      <c r="K63" s="26">
        <f>'Clean Swap Data'!I35-'Clean Swap Data'!I34</f>
        <v>1.9999999999997797E-3</v>
      </c>
      <c r="L63" s="26">
        <f>'Clean Swap Data'!J35-'Clean Swap Data'!J34</f>
        <v>2.0000000000002238E-3</v>
      </c>
      <c r="M63" s="26">
        <f>'Clean Swap Data'!K35-'Clean Swap Data'!K34</f>
        <v>2.9999999999996696E-3</v>
      </c>
      <c r="O63" s="23">
        <f ca="1"/>
        <v>-3.5551314284338648E-3</v>
      </c>
      <c r="P63" s="23">
        <f ca="1"/>
        <v>2.0536520720104711E-2</v>
      </c>
      <c r="Q63" s="23">
        <f ca="1"/>
        <v>-1.7925722830206714E-2</v>
      </c>
      <c r="S63" s="27">
        <f t="shared" si="9"/>
        <v>2.9999999999996696E-3</v>
      </c>
      <c r="T63" s="27">
        <f t="shared" si="16"/>
        <v>2.8999999999999471E-2</v>
      </c>
      <c r="U63" s="23">
        <f t="shared" si="17"/>
        <v>-1.7000000000000792E-2</v>
      </c>
    </row>
    <row r="64" spans="3:21" x14ac:dyDescent="0.2">
      <c r="C64" s="17">
        <f>'Clean Swap Data'!A36</f>
        <v>43234</v>
      </c>
      <c r="D64" s="26">
        <f>'Clean Swap Data'!B36-'Clean Swap Data'!B35</f>
        <v>-8.0000000000000071E-3</v>
      </c>
      <c r="E64" s="26">
        <f>'Clean Swap Data'!C36-'Clean Swap Data'!C35</f>
        <v>-1.6999999999999904E-2</v>
      </c>
      <c r="F64" s="26">
        <f>'Clean Swap Data'!D36-'Clean Swap Data'!D35</f>
        <v>-1.4000000000000234E-2</v>
      </c>
      <c r="G64" s="26">
        <f>'Clean Swap Data'!E36-'Clean Swap Data'!E35</f>
        <v>-1.0000000000000231E-2</v>
      </c>
      <c r="H64" s="26">
        <f>'Clean Swap Data'!F36-'Clean Swap Data'!F35</f>
        <v>-5.9999999999997833E-3</v>
      </c>
      <c r="I64" s="26">
        <f>'Clean Swap Data'!G36-'Clean Swap Data'!G35</f>
        <v>-4.0000000000000036E-3</v>
      </c>
      <c r="J64" s="26">
        <f>'Clean Swap Data'!H36-'Clean Swap Data'!H35</f>
        <v>-2.0000000000002238E-3</v>
      </c>
      <c r="K64" s="26">
        <f>'Clean Swap Data'!I36-'Clean Swap Data'!I35</f>
        <v>0</v>
      </c>
      <c r="L64" s="26">
        <f>'Clean Swap Data'!J36-'Clean Swap Data'!J35</f>
        <v>1.9999999999997797E-3</v>
      </c>
      <c r="M64" s="26">
        <f>'Clean Swap Data'!K36-'Clean Swap Data'!K35</f>
        <v>2.0000000000002238E-3</v>
      </c>
      <c r="O64" s="23">
        <f ca="1"/>
        <v>-1.6100874340950443E-2</v>
      </c>
      <c r="P64" s="23">
        <f ca="1"/>
        <v>2.0555366757270304E-2</v>
      </c>
      <c r="Q64" s="23">
        <f ca="1"/>
        <v>4.7849834368828836E-3</v>
      </c>
      <c r="S64" s="27">
        <f t="shared" si="9"/>
        <v>2.0000000000002238E-3</v>
      </c>
      <c r="T64" s="27">
        <f t="shared" si="16"/>
        <v>1.0000000000000231E-2</v>
      </c>
      <c r="U64" s="23">
        <f t="shared" si="17"/>
        <v>2.2000000000000686E-2</v>
      </c>
    </row>
    <row r="65" spans="3:21" x14ac:dyDescent="0.2">
      <c r="C65" s="17">
        <f>'Clean Swap Data'!A37</f>
        <v>43235</v>
      </c>
      <c r="D65" s="26">
        <f>'Clean Swap Data'!B37-'Clean Swap Data'!B36</f>
        <v>1.6999999999999904E-2</v>
      </c>
      <c r="E65" s="26">
        <f>'Clean Swap Data'!C37-'Clean Swap Data'!C36</f>
        <v>3.3999999999999808E-2</v>
      </c>
      <c r="F65" s="26">
        <f>'Clean Swap Data'!D37-'Clean Swap Data'!D36</f>
        <v>4.0999999999999925E-2</v>
      </c>
      <c r="G65" s="26">
        <f>'Clean Swap Data'!E37-'Clean Swap Data'!E36</f>
        <v>4.6000000000000263E-2</v>
      </c>
      <c r="H65" s="26">
        <f>'Clean Swap Data'!F37-'Clean Swap Data'!F36</f>
        <v>4.9999999999999822E-2</v>
      </c>
      <c r="I65" s="26">
        <f>'Clean Swap Data'!G37-'Clean Swap Data'!G36</f>
        <v>5.699999999999994E-2</v>
      </c>
      <c r="J65" s="26">
        <f>'Clean Swap Data'!H37-'Clean Swap Data'!H36</f>
        <v>6.0999999999999943E-2</v>
      </c>
      <c r="K65" s="26">
        <f>'Clean Swap Data'!I37-'Clean Swap Data'!I36</f>
        <v>6.4000000000000057E-2</v>
      </c>
      <c r="L65" s="26">
        <f>'Clean Swap Data'!J37-'Clean Swap Data'!J36</f>
        <v>6.7000000000000171E-2</v>
      </c>
      <c r="M65" s="26">
        <f>'Clean Swap Data'!K37-'Clean Swap Data'!K36</f>
        <v>6.899999999999995E-2</v>
      </c>
      <c r="O65" s="23">
        <f ca="1"/>
        <v>0.16522764158827735</v>
      </c>
      <c r="P65" s="23">
        <f ca="1"/>
        <v>2.4010395538546631E-2</v>
      </c>
      <c r="Q65" s="23">
        <f ca="1"/>
        <v>1.1974898313608399E-2</v>
      </c>
      <c r="S65" s="27">
        <f t="shared" si="9"/>
        <v>6.899999999999995E-2</v>
      </c>
      <c r="T65" s="27">
        <f t="shared" si="16"/>
        <v>5.2000000000000046E-2</v>
      </c>
      <c r="U65" s="23">
        <f t="shared" si="17"/>
        <v>4.0000000000000036E-3</v>
      </c>
    </row>
    <row r="66" spans="3:21" x14ac:dyDescent="0.2">
      <c r="C66" s="17">
        <f>'Clean Swap Data'!A38</f>
        <v>43236</v>
      </c>
      <c r="D66" s="26">
        <f>'Clean Swap Data'!B38-'Clean Swap Data'!B37</f>
        <v>1.6000000000000014E-2</v>
      </c>
      <c r="E66" s="26">
        <f>'Clean Swap Data'!C38-'Clean Swap Data'!C37</f>
        <v>2.8000000000000025E-2</v>
      </c>
      <c r="F66" s="26">
        <f>'Clean Swap Data'!D38-'Clean Swap Data'!D37</f>
        <v>3.2000000000000028E-2</v>
      </c>
      <c r="G66" s="26">
        <f>'Clean Swap Data'!E38-'Clean Swap Data'!E37</f>
        <v>3.6000000000000032E-2</v>
      </c>
      <c r="H66" s="26">
        <f>'Clean Swap Data'!F38-'Clean Swap Data'!F37</f>
        <v>3.9000000000000146E-2</v>
      </c>
      <c r="I66" s="26">
        <f>'Clean Swap Data'!G38-'Clean Swap Data'!G37</f>
        <v>3.7999999999999812E-2</v>
      </c>
      <c r="J66" s="26">
        <f>'Clean Swap Data'!H38-'Clean Swap Data'!H37</f>
        <v>3.8000000000000256E-2</v>
      </c>
      <c r="K66" s="26">
        <f>'Clean Swap Data'!I38-'Clean Swap Data'!I37</f>
        <v>3.6999999999999922E-2</v>
      </c>
      <c r="L66" s="26">
        <f>'Clean Swap Data'!J38-'Clean Swap Data'!J37</f>
        <v>3.6000000000000032E-2</v>
      </c>
      <c r="M66" s="26">
        <f>'Clean Swap Data'!K38-'Clean Swap Data'!K37</f>
        <v>3.5000000000000142E-2</v>
      </c>
      <c r="O66" s="23">
        <f ca="1"/>
        <v>0.10786858000918643</v>
      </c>
      <c r="P66" s="23">
        <f ca="1"/>
        <v>-7.8904175606168796E-4</v>
      </c>
      <c r="Q66" s="23">
        <f ca="1"/>
        <v>2.8574563362551162E-3</v>
      </c>
      <c r="S66" s="27">
        <f t="shared" si="9"/>
        <v>3.5000000000000142E-2</v>
      </c>
      <c r="T66" s="27">
        <f t="shared" si="16"/>
        <v>1.9000000000000128E-2</v>
      </c>
      <c r="U66" s="23">
        <f t="shared" si="17"/>
        <v>-1.2999999999999901E-2</v>
      </c>
    </row>
    <row r="67" spans="3:21" x14ac:dyDescent="0.2">
      <c r="C67" s="17">
        <f>'Clean Swap Data'!A39</f>
        <v>43237</v>
      </c>
      <c r="D67" s="26">
        <f>'Clean Swap Data'!B39-'Clean Swap Data'!B38</f>
        <v>1.9999999999997797E-3</v>
      </c>
      <c r="E67" s="26">
        <f>'Clean Swap Data'!C39-'Clean Swap Data'!C38</f>
        <v>8.999999999999897E-3</v>
      </c>
      <c r="F67" s="26">
        <f>'Clean Swap Data'!D39-'Clean Swap Data'!D38</f>
        <v>1.2999999999999901E-2</v>
      </c>
      <c r="G67" s="26">
        <f>'Clean Swap Data'!E39-'Clean Swap Data'!E38</f>
        <v>1.399999999999979E-2</v>
      </c>
      <c r="H67" s="26">
        <f>'Clean Swap Data'!F39-'Clean Swap Data'!F38</f>
        <v>1.399999999999979E-2</v>
      </c>
      <c r="I67" s="26">
        <f>'Clean Swap Data'!G39-'Clean Swap Data'!G38</f>
        <v>1.5000000000000124E-2</v>
      </c>
      <c r="J67" s="26">
        <f>'Clean Swap Data'!H39-'Clean Swap Data'!H38</f>
        <v>1.6000000000000014E-2</v>
      </c>
      <c r="K67" s="26">
        <f>'Clean Swap Data'!I39-'Clean Swap Data'!I38</f>
        <v>1.6000000000000014E-2</v>
      </c>
      <c r="L67" s="26">
        <f>'Clean Swap Data'!J39-'Clean Swap Data'!J38</f>
        <v>1.6000000000000014E-2</v>
      </c>
      <c r="M67" s="26">
        <f>'Clean Swap Data'!K39-'Clean Swap Data'!K38</f>
        <v>1.6999999999999904E-2</v>
      </c>
      <c r="O67" s="23">
        <f ca="1"/>
        <v>4.3580491747874039E-2</v>
      </c>
      <c r="P67" s="23">
        <f ca="1"/>
        <v>5.125606535510723E-3</v>
      </c>
      <c r="Q67" s="23">
        <f ca="1"/>
        <v>-7.1632434730233051E-4</v>
      </c>
      <c r="S67" s="27">
        <f t="shared" si="9"/>
        <v>1.6999999999999904E-2</v>
      </c>
      <c r="T67" s="27">
        <f t="shared" si="16"/>
        <v>1.5000000000000124E-2</v>
      </c>
      <c r="U67" s="23">
        <f t="shared" si="17"/>
        <v>-7.0000000000001172E-3</v>
      </c>
    </row>
    <row r="68" spans="3:21" x14ac:dyDescent="0.2">
      <c r="C68" s="17">
        <f>'Clean Swap Data'!A40</f>
        <v>43238</v>
      </c>
      <c r="D68" s="26">
        <f>'Clean Swap Data'!B40-'Clean Swap Data'!B39</f>
        <v>-9.9999999999997868E-3</v>
      </c>
      <c r="E68" s="26">
        <f>'Clean Swap Data'!C40-'Clean Swap Data'!C39</f>
        <v>-3.6999999999999922E-2</v>
      </c>
      <c r="F68" s="26">
        <f>'Clean Swap Data'!D40-'Clean Swap Data'!D39</f>
        <v>-4.4000000000000039E-2</v>
      </c>
      <c r="G68" s="26">
        <f>'Clean Swap Data'!E40-'Clean Swap Data'!E39</f>
        <v>-4.4999999999999929E-2</v>
      </c>
      <c r="H68" s="26">
        <f>'Clean Swap Data'!F40-'Clean Swap Data'!F39</f>
        <v>-4.4999999999999929E-2</v>
      </c>
      <c r="I68" s="26">
        <f>'Clean Swap Data'!G40-'Clean Swap Data'!G39</f>
        <v>-4.3000000000000149E-2</v>
      </c>
      <c r="J68" s="26">
        <f>'Clean Swap Data'!H40-'Clean Swap Data'!H39</f>
        <v>-4.1000000000000369E-2</v>
      </c>
      <c r="K68" s="26">
        <f>'Clean Swap Data'!I40-'Clean Swap Data'!I39</f>
        <v>-3.8999999999999702E-2</v>
      </c>
      <c r="L68" s="26">
        <f>'Clean Swap Data'!J40-'Clean Swap Data'!J39</f>
        <v>-3.6000000000000032E-2</v>
      </c>
      <c r="M68" s="26">
        <f>'Clean Swap Data'!K40-'Clean Swap Data'!K39</f>
        <v>-3.5000000000000142E-2</v>
      </c>
      <c r="O68" s="23">
        <f ca="1"/>
        <v>-0.1219021230995203</v>
      </c>
      <c r="P68" s="23">
        <f ca="1"/>
        <v>7.376187025057301E-3</v>
      </c>
      <c r="Q68" s="23">
        <f ca="1"/>
        <v>1.020688310088567E-2</v>
      </c>
      <c r="S68" s="27">
        <f t="shared" si="9"/>
        <v>-3.5000000000000142E-2</v>
      </c>
      <c r="T68" s="27">
        <f t="shared" si="16"/>
        <v>-2.5000000000000355E-2</v>
      </c>
      <c r="U68" s="23">
        <f t="shared" si="17"/>
        <v>4.3000000000000149E-2</v>
      </c>
    </row>
    <row r="69" spans="3:21" x14ac:dyDescent="0.2">
      <c r="C69" s="17">
        <f>'Clean Swap Data'!A41</f>
        <v>43241</v>
      </c>
      <c r="D69" s="26">
        <f>'Clean Swap Data'!B41-'Clean Swap Data'!B40</f>
        <v>1.1000000000000121E-2</v>
      </c>
      <c r="E69" s="26">
        <f>'Clean Swap Data'!C41-'Clean Swap Data'!C40</f>
        <v>2.4000000000000021E-2</v>
      </c>
      <c r="F69" s="26">
        <f>'Clean Swap Data'!D41-'Clean Swap Data'!D40</f>
        <v>2.1000000000000352E-2</v>
      </c>
      <c r="G69" s="26">
        <f>'Clean Swap Data'!E41-'Clean Swap Data'!E40</f>
        <v>1.8000000000000238E-2</v>
      </c>
      <c r="H69" s="26">
        <f>'Clean Swap Data'!F41-'Clean Swap Data'!F40</f>
        <v>1.4000000000000234E-2</v>
      </c>
      <c r="I69" s="26">
        <f>'Clean Swap Data'!G41-'Clean Swap Data'!G40</f>
        <v>1.1000000000000121E-2</v>
      </c>
      <c r="J69" s="26">
        <f>'Clean Swap Data'!H41-'Clean Swap Data'!H40</f>
        <v>9.0000000000003411E-3</v>
      </c>
      <c r="K69" s="26">
        <f>'Clean Swap Data'!I41-'Clean Swap Data'!I40</f>
        <v>8.0000000000000071E-3</v>
      </c>
      <c r="L69" s="26">
        <f>'Clean Swap Data'!J41-'Clean Swap Data'!J40</f>
        <v>4.9999999999998934E-3</v>
      </c>
      <c r="M69" s="26">
        <f>'Clean Swap Data'!K41-'Clean Swap Data'!K40</f>
        <v>4.0000000000000036E-3</v>
      </c>
      <c r="O69" s="23">
        <f ca="1"/>
        <v>3.7942231916392052E-2</v>
      </c>
      <c r="P69" s="23">
        <f ca="1"/>
        <v>-2.2109561611428102E-2</v>
      </c>
      <c r="Q69" s="23">
        <f ca="1"/>
        <v>-5.2534833912491119E-3</v>
      </c>
      <c r="S69" s="27">
        <f t="shared" si="9"/>
        <v>4.0000000000000036E-3</v>
      </c>
      <c r="T69" s="27">
        <f t="shared" si="16"/>
        <v>-7.0000000000001172E-3</v>
      </c>
      <c r="U69" s="23">
        <f t="shared" si="17"/>
        <v>-2.7000000000000579E-2</v>
      </c>
    </row>
    <row r="70" spans="3:21" x14ac:dyDescent="0.2">
      <c r="C70" s="17">
        <f>'Clean Swap Data'!A42</f>
        <v>43242</v>
      </c>
      <c r="D70" s="26">
        <f>'Clean Swap Data'!B42-'Clean Swap Data'!B41</f>
        <v>1.9999999999997797E-3</v>
      </c>
      <c r="E70" s="26">
        <f>'Clean Swap Data'!C42-'Clean Swap Data'!C41</f>
        <v>-2.0000000000002238E-3</v>
      </c>
      <c r="F70" s="26">
        <f>'Clean Swap Data'!D42-'Clean Swap Data'!D41</f>
        <v>-1.000000000000334E-3</v>
      </c>
      <c r="G70" s="26">
        <f>'Clean Swap Data'!E42-'Clean Swap Data'!E41</f>
        <v>-1.000000000000334E-3</v>
      </c>
      <c r="H70" s="26">
        <f>'Clean Swap Data'!F42-'Clean Swap Data'!F41</f>
        <v>-2.0000000000002238E-3</v>
      </c>
      <c r="I70" s="26">
        <f>'Clean Swap Data'!G42-'Clean Swap Data'!G41</f>
        <v>-1.9999999999997797E-3</v>
      </c>
      <c r="J70" s="26">
        <f>'Clean Swap Data'!H42-'Clean Swap Data'!H41</f>
        <v>-2.0000000000002238E-3</v>
      </c>
      <c r="K70" s="26">
        <f>'Clean Swap Data'!I42-'Clean Swap Data'!I41</f>
        <v>-3.0000000000001137E-3</v>
      </c>
      <c r="L70" s="26">
        <f>'Clean Swap Data'!J42-'Clean Swap Data'!J41</f>
        <v>-1.9999999999997797E-3</v>
      </c>
      <c r="M70" s="26">
        <f>'Clean Swap Data'!K42-'Clean Swap Data'!K41</f>
        <v>-1.9999999999997797E-3</v>
      </c>
      <c r="O70" s="23">
        <f ca="1"/>
        <v>-5.3892127730349503E-3</v>
      </c>
      <c r="P70" s="23">
        <f ca="1"/>
        <v>-1.943207570016476E-3</v>
      </c>
      <c r="Q70" s="23">
        <f ca="1"/>
        <v>1.80752846160345E-3</v>
      </c>
      <c r="S70" s="27">
        <f t="shared" si="9"/>
        <v>-1.9999999999997797E-3</v>
      </c>
      <c r="T70" s="27">
        <f t="shared" si="16"/>
        <v>-3.9999999999995595E-3</v>
      </c>
      <c r="U70" s="23">
        <f t="shared" si="17"/>
        <v>2.0000000000006679E-3</v>
      </c>
    </row>
    <row r="71" spans="3:21" x14ac:dyDescent="0.2">
      <c r="C71" s="17">
        <f>'Clean Swap Data'!A43</f>
        <v>43244</v>
      </c>
      <c r="D71" s="26">
        <f>'Clean Swap Data'!B43-'Clean Swap Data'!B42</f>
        <v>-4.0000000000000036E-2</v>
      </c>
      <c r="E71" s="26">
        <f>'Clean Swap Data'!C43-'Clean Swap Data'!C42</f>
        <v>-8.1999999999999851E-2</v>
      </c>
      <c r="F71" s="26">
        <f>'Clean Swap Data'!D43-'Clean Swap Data'!D42</f>
        <v>-9.4999999999999751E-2</v>
      </c>
      <c r="G71" s="26">
        <f>'Clean Swap Data'!E43-'Clean Swap Data'!E42</f>
        <v>-0.10199999999999987</v>
      </c>
      <c r="H71" s="26">
        <f>'Clean Swap Data'!F43-'Clean Swap Data'!F42</f>
        <v>-0.10699999999999976</v>
      </c>
      <c r="I71" s="26">
        <f>'Clean Swap Data'!G43-'Clean Swap Data'!G42</f>
        <v>-0.1120000000000001</v>
      </c>
      <c r="J71" s="26">
        <f>'Clean Swap Data'!H43-'Clean Swap Data'!H42</f>
        <v>-0.11499999999999977</v>
      </c>
      <c r="K71" s="26">
        <f>'Clean Swap Data'!I43-'Clean Swap Data'!I42</f>
        <v>-0.1160000000000001</v>
      </c>
      <c r="L71" s="26">
        <f>'Clean Swap Data'!J43-'Clean Swap Data'!J42</f>
        <v>-0.11699999999999999</v>
      </c>
      <c r="M71" s="26">
        <f>'Clean Swap Data'!K43-'Clean Swap Data'!K42</f>
        <v>-0.11699999999999999</v>
      </c>
      <c r="O71" s="23">
        <f ca="1"/>
        <v>-0.32479795994335509</v>
      </c>
      <c r="P71" s="23">
        <f ca="1"/>
        <v>-1.3509721017454096E-2</v>
      </c>
      <c r="Q71" s="23">
        <f ca="1"/>
        <v>-1.0122324461845293E-2</v>
      </c>
      <c r="S71" s="27">
        <f t="shared" si="9"/>
        <v>-0.11699999999999999</v>
      </c>
      <c r="T71" s="27">
        <f t="shared" si="16"/>
        <v>-7.6999999999999957E-2</v>
      </c>
      <c r="U71" s="23">
        <f t="shared" si="17"/>
        <v>3.2999999999999474E-2</v>
      </c>
    </row>
    <row r="72" spans="3:21" x14ac:dyDescent="0.2">
      <c r="C72" s="17">
        <f>'Clean Swap Data'!A44</f>
        <v>43245</v>
      </c>
      <c r="D72" s="26">
        <f>'Clean Swap Data'!B44-'Clean Swap Data'!B43</f>
        <v>-1.2999999999999901E-2</v>
      </c>
      <c r="E72" s="26">
        <f>'Clean Swap Data'!C44-'Clean Swap Data'!C43</f>
        <v>-8.0000000000000071E-3</v>
      </c>
      <c r="F72" s="26">
        <f>'Clean Swap Data'!D44-'Clean Swap Data'!D43</f>
        <v>-1.4000000000000234E-2</v>
      </c>
      <c r="G72" s="26">
        <f>'Clean Swap Data'!E44-'Clean Swap Data'!E43</f>
        <v>-1.5000000000000124E-2</v>
      </c>
      <c r="H72" s="26">
        <f>'Clean Swap Data'!F44-'Clean Swap Data'!F43</f>
        <v>-1.8000000000000238E-2</v>
      </c>
      <c r="I72" s="26">
        <f>'Clean Swap Data'!G44-'Clean Swap Data'!G43</f>
        <v>-1.6999999999999904E-2</v>
      </c>
      <c r="J72" s="26">
        <f>'Clean Swap Data'!H44-'Clean Swap Data'!H43</f>
        <v>-1.8000000000000238E-2</v>
      </c>
      <c r="K72" s="26">
        <f>'Clean Swap Data'!I44-'Clean Swap Data'!I43</f>
        <v>-1.6999999999999904E-2</v>
      </c>
      <c r="L72" s="26">
        <f>'Clean Swap Data'!J44-'Clean Swap Data'!J43</f>
        <v>-1.6000000000000014E-2</v>
      </c>
      <c r="M72" s="26">
        <f>'Clean Swap Data'!K44-'Clean Swap Data'!K43</f>
        <v>-1.8000000000000238E-2</v>
      </c>
      <c r="O72" s="23">
        <f ca="1"/>
        <v>-4.871035437459053E-2</v>
      </c>
      <c r="P72" s="23">
        <f ca="1"/>
        <v>-2.842881501105201E-4</v>
      </c>
      <c r="Q72" s="23">
        <f ca="1"/>
        <v>-8.0758416227882657E-3</v>
      </c>
      <c r="S72" s="27">
        <f t="shared" si="9"/>
        <v>-1.8000000000000238E-2</v>
      </c>
      <c r="T72" s="27">
        <f t="shared" si="16"/>
        <v>-5.0000000000003375E-3</v>
      </c>
      <c r="U72" s="23">
        <f t="shared" si="17"/>
        <v>-2.9999999999996696E-3</v>
      </c>
    </row>
    <row r="73" spans="3:21" x14ac:dyDescent="0.2">
      <c r="C73" s="17">
        <f>'Clean Swap Data'!A45</f>
        <v>43250</v>
      </c>
      <c r="D73" s="26">
        <f>'Clean Swap Data'!B45-'Clean Swap Data'!B44</f>
        <v>-3.5000000000000142E-2</v>
      </c>
      <c r="E73" s="26">
        <f>'Clean Swap Data'!C45-'Clean Swap Data'!C44</f>
        <v>-8.7000000000000188E-2</v>
      </c>
      <c r="F73" s="26">
        <f>'Clean Swap Data'!D45-'Clean Swap Data'!D44</f>
        <v>-0.10299999999999976</v>
      </c>
      <c r="G73" s="26">
        <f>'Clean Swap Data'!E45-'Clean Swap Data'!E44</f>
        <v>-0.10999999999999988</v>
      </c>
      <c r="H73" s="26">
        <f>'Clean Swap Data'!F45-'Clean Swap Data'!F44</f>
        <v>-0.10599999999999987</v>
      </c>
      <c r="I73" s="26">
        <f>'Clean Swap Data'!G45-'Clean Swap Data'!G44</f>
        <v>-0.10400000000000009</v>
      </c>
      <c r="J73" s="26">
        <f>'Clean Swap Data'!H45-'Clean Swap Data'!H44</f>
        <v>-0.10099999999999998</v>
      </c>
      <c r="K73" s="26">
        <f>'Clean Swap Data'!I45-'Clean Swap Data'!I44</f>
        <v>-9.9000000000000199E-2</v>
      </c>
      <c r="L73" s="26">
        <f>'Clean Swap Data'!J45-'Clean Swap Data'!J44</f>
        <v>-9.6999999999999975E-2</v>
      </c>
      <c r="M73" s="26">
        <f>'Clean Swap Data'!K45-'Clean Swap Data'!K44</f>
        <v>-9.3999999999999861E-2</v>
      </c>
      <c r="O73" s="23">
        <f ca="1"/>
        <v>-0.30253546020635197</v>
      </c>
      <c r="P73" s="23">
        <f ca="1"/>
        <v>1.2864735675631143E-2</v>
      </c>
      <c r="Q73" s="23">
        <f ca="1"/>
        <v>9.6119906772892047E-3</v>
      </c>
      <c r="S73" s="27">
        <f t="shared" si="9"/>
        <v>-9.3999999999999861E-2</v>
      </c>
      <c r="T73" s="27">
        <f t="shared" si="16"/>
        <v>-5.8999999999999719E-2</v>
      </c>
      <c r="U73" s="23">
        <f t="shared" si="17"/>
        <v>7.6999999999999513E-2</v>
      </c>
    </row>
    <row r="74" spans="3:21" x14ac:dyDescent="0.2">
      <c r="C74" s="17">
        <f>'Clean Swap Data'!A46</f>
        <v>43255</v>
      </c>
      <c r="D74" s="26">
        <f>'Clean Swap Data'!B46-'Clean Swap Data'!B45</f>
        <v>8.4999999999999964E-2</v>
      </c>
      <c r="E74" s="26">
        <f>'Clean Swap Data'!C46-'Clean Swap Data'!C45</f>
        <v>0.13200000000000012</v>
      </c>
      <c r="F74" s="26">
        <f>'Clean Swap Data'!D46-'Clean Swap Data'!D45</f>
        <v>0.14100000000000001</v>
      </c>
      <c r="G74" s="26">
        <f>'Clean Swap Data'!E46-'Clean Swap Data'!E45</f>
        <v>0.13899999999999979</v>
      </c>
      <c r="H74" s="26">
        <f>'Clean Swap Data'!F46-'Clean Swap Data'!F45</f>
        <v>0.13300000000000001</v>
      </c>
      <c r="I74" s="26">
        <f>'Clean Swap Data'!G46-'Clean Swap Data'!G45</f>
        <v>0.12400000000000011</v>
      </c>
      <c r="J74" s="26">
        <f>'Clean Swap Data'!H46-'Clean Swap Data'!H45</f>
        <v>0.11799999999999988</v>
      </c>
      <c r="K74" s="26">
        <f>'Clean Swap Data'!I46-'Clean Swap Data'!I45</f>
        <v>0.11100000000000021</v>
      </c>
      <c r="L74" s="26">
        <f>'Clean Swap Data'!J46-'Clean Swap Data'!J45</f>
        <v>0.10499999999999998</v>
      </c>
      <c r="M74" s="26">
        <f>'Clean Swap Data'!K46-'Clean Swap Data'!K45</f>
        <v>0.10099999999999998</v>
      </c>
      <c r="O74" s="23">
        <f ca="1"/>
        <v>0.37358087262710238</v>
      </c>
      <c r="P74" s="23">
        <f ca="1"/>
        <v>-6.9144369068653885E-2</v>
      </c>
      <c r="Q74" s="23">
        <f ca="1"/>
        <v>6.0635078592981666E-3</v>
      </c>
      <c r="S74" s="27">
        <f t="shared" si="9"/>
        <v>0.10099999999999998</v>
      </c>
      <c r="T74" s="27">
        <f t="shared" si="16"/>
        <v>1.6000000000000014E-2</v>
      </c>
      <c r="U74" s="23">
        <f t="shared" si="17"/>
        <v>-9.6000000000000085E-2</v>
      </c>
    </row>
    <row r="75" spans="3:21" x14ac:dyDescent="0.2">
      <c r="C75" s="17">
        <f>'Clean Swap Data'!A47</f>
        <v>43256</v>
      </c>
      <c r="D75" s="26">
        <f>'Clean Swap Data'!B47-'Clean Swap Data'!B46</f>
        <v>-5.9999999999997833E-3</v>
      </c>
      <c r="E75" s="26">
        <f>'Clean Swap Data'!C47-'Clean Swap Data'!C46</f>
        <v>4.0000000000000036E-3</v>
      </c>
      <c r="F75" s="26">
        <f>'Clean Swap Data'!D47-'Clean Swap Data'!D46</f>
        <v>4.0000000000000036E-3</v>
      </c>
      <c r="G75" s="26">
        <f>'Clean Swap Data'!E47-'Clean Swap Data'!E46</f>
        <v>3.0000000000001137E-3</v>
      </c>
      <c r="H75" s="26">
        <f>'Clean Swap Data'!F47-'Clean Swap Data'!F46</f>
        <v>9.9999999999988987E-4</v>
      </c>
      <c r="I75" s="26">
        <f>'Clean Swap Data'!G47-'Clean Swap Data'!G46</f>
        <v>2.9999999999996696E-3</v>
      </c>
      <c r="J75" s="26">
        <f>'Clean Swap Data'!H47-'Clean Swap Data'!H46</f>
        <v>2.0000000000002238E-3</v>
      </c>
      <c r="K75" s="26">
        <f>'Clean Swap Data'!I47-'Clean Swap Data'!I46</f>
        <v>4.0000000000000036E-3</v>
      </c>
      <c r="L75" s="26">
        <f>'Clean Swap Data'!J47-'Clean Swap Data'!J46</f>
        <v>4.0000000000000036E-3</v>
      </c>
      <c r="M75" s="26">
        <f>'Clean Swap Data'!K47-'Clean Swap Data'!K46</f>
        <v>4.9999999999998934E-3</v>
      </c>
      <c r="O75" s="23">
        <f ca="1"/>
        <v>9.1040562459552034E-3</v>
      </c>
      <c r="P75" s="23">
        <f ca="1"/>
        <v>3.6302601375228592E-3</v>
      </c>
      <c r="Q75" s="23">
        <f ca="1"/>
        <v>-5.698710983443633E-3</v>
      </c>
      <c r="S75" s="27">
        <f t="shared" si="9"/>
        <v>4.9999999999998934E-3</v>
      </c>
      <c r="T75" s="27">
        <f t="shared" si="16"/>
        <v>1.0999999999999677E-2</v>
      </c>
      <c r="U75" s="23">
        <f t="shared" si="17"/>
        <v>-8.999999999999897E-3</v>
      </c>
    </row>
    <row r="76" spans="3:21" x14ac:dyDescent="0.2">
      <c r="C76" s="17">
        <f>'Clean Swap Data'!A48</f>
        <v>43257</v>
      </c>
      <c r="D76" s="26">
        <f>'Clean Swap Data'!B48-'Clean Swap Data'!B47</f>
        <v>2.0000000000000018E-2</v>
      </c>
      <c r="E76" s="26">
        <f>'Clean Swap Data'!C48-'Clean Swap Data'!C47</f>
        <v>1.9000000000000128E-2</v>
      </c>
      <c r="F76" s="26">
        <f>'Clean Swap Data'!D48-'Clean Swap Data'!D47</f>
        <v>2.4000000000000021E-2</v>
      </c>
      <c r="G76" s="26">
        <f>'Clean Swap Data'!E48-'Clean Swap Data'!E47</f>
        <v>3.0000000000000249E-2</v>
      </c>
      <c r="H76" s="26">
        <f>'Clean Swap Data'!F48-'Clean Swap Data'!F47</f>
        <v>3.5000000000000142E-2</v>
      </c>
      <c r="I76" s="26">
        <f>'Clean Swap Data'!G48-'Clean Swap Data'!G47</f>
        <v>3.6000000000000032E-2</v>
      </c>
      <c r="J76" s="26">
        <f>'Clean Swap Data'!H48-'Clean Swap Data'!H47</f>
        <v>3.9000000000000146E-2</v>
      </c>
      <c r="K76" s="26">
        <f>'Clean Swap Data'!I48-'Clean Swap Data'!I47</f>
        <v>3.9000000000000146E-2</v>
      </c>
      <c r="L76" s="26">
        <f>'Clean Swap Data'!J48-'Clean Swap Data'!J47</f>
        <v>3.9999999999999591E-2</v>
      </c>
      <c r="M76" s="26">
        <f>'Clean Swap Data'!K48-'Clean Swap Data'!K47</f>
        <v>4.0999999999999925E-2</v>
      </c>
      <c r="O76" s="23">
        <f ca="1"/>
        <v>0.10371498944211223</v>
      </c>
      <c r="P76" s="23">
        <f ca="1"/>
        <v>9.957519552156081E-3</v>
      </c>
      <c r="Q76" s="23">
        <f ca="1"/>
        <v>1.4672707867349741E-2</v>
      </c>
      <c r="S76" s="27">
        <f t="shared" si="9"/>
        <v>4.0999999999999925E-2</v>
      </c>
      <c r="T76" s="27">
        <f t="shared" si="16"/>
        <v>2.0999999999999908E-2</v>
      </c>
      <c r="U76" s="23">
        <f t="shared" si="17"/>
        <v>1.2999999999999901E-2</v>
      </c>
    </row>
    <row r="77" spans="3:21" x14ac:dyDescent="0.2">
      <c r="C77" s="17">
        <f>'Clean Swap Data'!A49</f>
        <v>43262</v>
      </c>
      <c r="D77" s="26">
        <f>'Clean Swap Data'!B49-'Clean Swap Data'!B48</f>
        <v>1.399999999999979E-2</v>
      </c>
      <c r="E77" s="26">
        <f>'Clean Swap Data'!C49-'Clean Swap Data'!C48</f>
        <v>1.5000000000000124E-2</v>
      </c>
      <c r="F77" s="26">
        <f>'Clean Swap Data'!D49-'Clean Swap Data'!D48</f>
        <v>1.0999999999999677E-2</v>
      </c>
      <c r="G77" s="26">
        <f>'Clean Swap Data'!E49-'Clean Swap Data'!E48</f>
        <v>4.9999999999998934E-3</v>
      </c>
      <c r="H77" s="26">
        <f>'Clean Swap Data'!F49-'Clean Swap Data'!F48</f>
        <v>0</v>
      </c>
      <c r="I77" s="26">
        <f>'Clean Swap Data'!G49-'Clean Swap Data'!G48</f>
        <v>-9.9999999999988987E-4</v>
      </c>
      <c r="J77" s="26">
        <f>'Clean Swap Data'!H49-'Clean Swap Data'!H48</f>
        <v>-3.0000000000001137E-3</v>
      </c>
      <c r="K77" s="26">
        <f>'Clean Swap Data'!I49-'Clean Swap Data'!I48</f>
        <v>-3.0000000000001137E-3</v>
      </c>
      <c r="L77" s="26">
        <f>'Clean Swap Data'!J49-'Clean Swap Data'!J48</f>
        <v>-2.9999999999996696E-3</v>
      </c>
      <c r="M77" s="26">
        <f>'Clean Swap Data'!K49-'Clean Swap Data'!K48</f>
        <v>-4.0000000000000036E-3</v>
      </c>
      <c r="O77" s="23">
        <f ca="1"/>
        <v>6.1095019456657408E-3</v>
      </c>
      <c r="P77" s="23">
        <f ca="1"/>
        <v>-2.3084807268538073E-2</v>
      </c>
      <c r="Q77" s="23">
        <f ca="1"/>
        <v>2.5729535584239037E-3</v>
      </c>
      <c r="S77" s="27">
        <f t="shared" si="9"/>
        <v>-4.0000000000000036E-3</v>
      </c>
      <c r="T77" s="27">
        <f t="shared" si="16"/>
        <v>-1.7999999999999794E-2</v>
      </c>
      <c r="U77" s="23">
        <f t="shared" si="17"/>
        <v>-1.1999999999999567E-2</v>
      </c>
    </row>
    <row r="78" spans="3:21" x14ac:dyDescent="0.2">
      <c r="C78" s="17">
        <f>'Clean Swap Data'!A50</f>
        <v>43269</v>
      </c>
      <c r="D78" s="26">
        <f>'Clean Swap Data'!B50-'Clean Swap Data'!B49</f>
        <v>6.0000000000002274E-3</v>
      </c>
      <c r="E78" s="26">
        <f>'Clean Swap Data'!C50-'Clean Swap Data'!C49</f>
        <v>2.0000000000000018E-2</v>
      </c>
      <c r="F78" s="26">
        <f>'Clean Swap Data'!D50-'Clean Swap Data'!D49</f>
        <v>1.4000000000000234E-2</v>
      </c>
      <c r="G78" s="26">
        <f>'Clean Swap Data'!E50-'Clean Swap Data'!E49</f>
        <v>4.9999999999998934E-3</v>
      </c>
      <c r="H78" s="26">
        <f>'Clean Swap Data'!F50-'Clean Swap Data'!F49</f>
        <v>-4.9999999999998934E-3</v>
      </c>
      <c r="I78" s="26">
        <f>'Clean Swap Data'!G50-'Clean Swap Data'!G49</f>
        <v>-1.399999999999979E-2</v>
      </c>
      <c r="J78" s="26">
        <f>'Clean Swap Data'!H50-'Clean Swap Data'!H49</f>
        <v>-2.2000000000000242E-2</v>
      </c>
      <c r="K78" s="26">
        <f>'Clean Swap Data'!I50-'Clean Swap Data'!I49</f>
        <v>-2.8000000000000025E-2</v>
      </c>
      <c r="L78" s="26">
        <f>'Clean Swap Data'!J50-'Clean Swap Data'!J49</f>
        <v>-3.2999999999999918E-2</v>
      </c>
      <c r="M78" s="26">
        <f>'Clean Swap Data'!K50-'Clean Swap Data'!K49</f>
        <v>-3.7999999999999812E-2</v>
      </c>
      <c r="O78" s="23">
        <f ca="1"/>
        <v>-3.5435797652412185E-2</v>
      </c>
      <c r="P78" s="23">
        <f ca="1"/>
        <v>-5.4586668906435674E-2</v>
      </c>
      <c r="Q78" s="23">
        <f ca="1"/>
        <v>-2.0957781030777604E-2</v>
      </c>
      <c r="S78" s="27">
        <f t="shared" si="9"/>
        <v>-3.7999999999999812E-2</v>
      </c>
      <c r="T78" s="27">
        <f t="shared" si="16"/>
        <v>-4.4000000000000039E-2</v>
      </c>
      <c r="U78" s="23">
        <f t="shared" si="17"/>
        <v>-6.0000000000000053E-2</v>
      </c>
    </row>
    <row r="79" spans="3:21" x14ac:dyDescent="0.2">
      <c r="C79" s="17">
        <f>'Clean Swap Data'!A51</f>
        <v>43270</v>
      </c>
      <c r="D79" s="26">
        <f>'Clean Swap Data'!B51-'Clean Swap Data'!B50</f>
        <v>-2.0000000000002238E-3</v>
      </c>
      <c r="E79" s="26">
        <f>'Clean Swap Data'!C51-'Clean Swap Data'!C50</f>
        <v>-1.5000000000000124E-2</v>
      </c>
      <c r="F79" s="26">
        <f>'Clean Swap Data'!D51-'Clean Swap Data'!D50</f>
        <v>-2.1999999999999797E-2</v>
      </c>
      <c r="G79" s="26">
        <f>'Clean Swap Data'!E51-'Clean Swap Data'!E50</f>
        <v>-2.4000000000000021E-2</v>
      </c>
      <c r="H79" s="26">
        <f>'Clean Swap Data'!F51-'Clean Swap Data'!F50</f>
        <v>-2.6000000000000245E-2</v>
      </c>
      <c r="I79" s="26">
        <f>'Clean Swap Data'!G51-'Clean Swap Data'!G50</f>
        <v>-2.6000000000000245E-2</v>
      </c>
      <c r="J79" s="26">
        <f>'Clean Swap Data'!H51-'Clean Swap Data'!H50</f>
        <v>-2.4999999999999911E-2</v>
      </c>
      <c r="K79" s="26">
        <f>'Clean Swap Data'!I51-'Clean Swap Data'!I50</f>
        <v>-2.4000000000000021E-2</v>
      </c>
      <c r="L79" s="26">
        <f>'Clean Swap Data'!J51-'Clean Swap Data'!J50</f>
        <v>-2.5000000000000355E-2</v>
      </c>
      <c r="M79" s="26">
        <f>'Clean Swap Data'!K51-'Clean Swap Data'!K50</f>
        <v>-2.3000000000000131E-2</v>
      </c>
      <c r="O79" s="23">
        <f ca="1"/>
        <v>-7.0219727714433369E-2</v>
      </c>
      <c r="P79" s="23">
        <f ca="1"/>
        <v>-5.390984140316607E-3</v>
      </c>
      <c r="Q79" s="23">
        <f ca="1"/>
        <v>4.7999062965571066E-3</v>
      </c>
      <c r="S79" s="27">
        <f t="shared" si="9"/>
        <v>-2.3000000000000131E-2</v>
      </c>
      <c r="T79" s="27">
        <f t="shared" si="16"/>
        <v>-2.0999999999999908E-2</v>
      </c>
      <c r="U79" s="23">
        <f t="shared" si="17"/>
        <v>1.899999999999924E-2</v>
      </c>
    </row>
    <row r="80" spans="3:21" x14ac:dyDescent="0.2">
      <c r="C80" s="17">
        <f>'Clean Swap Data'!A52</f>
        <v>43271</v>
      </c>
      <c r="D80" s="26">
        <f>'Clean Swap Data'!B52-'Clean Swap Data'!B51</f>
        <v>1.2000000000000011E-2</v>
      </c>
      <c r="E80" s="26">
        <f>'Clean Swap Data'!C52-'Clean Swap Data'!C51</f>
        <v>5.9999999999997833E-3</v>
      </c>
      <c r="F80" s="26">
        <f>'Clean Swap Data'!D52-'Clean Swap Data'!D51</f>
        <v>7.999999999999563E-3</v>
      </c>
      <c r="G80" s="26">
        <f>'Clean Swap Data'!E52-'Clean Swap Data'!E51</f>
        <v>8.0000000000000071E-3</v>
      </c>
      <c r="H80" s="26">
        <f>'Clean Swap Data'!F52-'Clean Swap Data'!F51</f>
        <v>1.0000000000000231E-2</v>
      </c>
      <c r="I80" s="26">
        <f>'Clean Swap Data'!G52-'Clean Swap Data'!G51</f>
        <v>1.0000000000000231E-2</v>
      </c>
      <c r="J80" s="26">
        <f>'Clean Swap Data'!H52-'Clean Swap Data'!H51</f>
        <v>1.0000000000000231E-2</v>
      </c>
      <c r="K80" s="26">
        <f>'Clean Swap Data'!I52-'Clean Swap Data'!I51</f>
        <v>8.999999999999897E-3</v>
      </c>
      <c r="L80" s="26">
        <f>'Clean Swap Data'!J52-'Clean Swap Data'!J51</f>
        <v>1.1000000000000121E-2</v>
      </c>
      <c r="M80" s="26">
        <f>'Clean Swap Data'!K52-'Clean Swap Data'!K51</f>
        <v>1.0000000000000231E-2</v>
      </c>
      <c r="O80" s="23">
        <f ca="1"/>
        <v>2.8763450761477551E-2</v>
      </c>
      <c r="P80" s="23">
        <f ca="1"/>
        <v>-2.4296283961543126E-3</v>
      </c>
      <c r="Q80" s="23">
        <f ca="1"/>
        <v>8.4748277811164032E-3</v>
      </c>
      <c r="S80" s="27">
        <f t="shared" si="9"/>
        <v>1.0000000000000231E-2</v>
      </c>
      <c r="T80" s="27">
        <f t="shared" si="16"/>
        <v>-1.9999999999997797E-3</v>
      </c>
      <c r="U80" s="23">
        <f t="shared" si="17"/>
        <v>6.0000000000011156E-3</v>
      </c>
    </row>
    <row r="81" spans="3:21" x14ac:dyDescent="0.2">
      <c r="C81" s="17">
        <f>'Clean Swap Data'!A53</f>
        <v>43272</v>
      </c>
      <c r="D81" s="26">
        <f>'Clean Swap Data'!B53-'Clean Swap Data'!B52</f>
        <v>-5.9999999999997833E-3</v>
      </c>
      <c r="E81" s="26">
        <f>'Clean Swap Data'!C53-'Clean Swap Data'!C52</f>
        <v>5.0000000000003375E-3</v>
      </c>
      <c r="F81" s="26">
        <f>'Clean Swap Data'!D53-'Clean Swap Data'!D52</f>
        <v>3.0000000000001137E-3</v>
      </c>
      <c r="G81" s="26">
        <f>'Clean Swap Data'!E53-'Clean Swap Data'!E52</f>
        <v>2.0000000000002238E-3</v>
      </c>
      <c r="H81" s="26">
        <f>'Clean Swap Data'!F53-'Clean Swap Data'!F52</f>
        <v>1.9999999999997797E-3</v>
      </c>
      <c r="I81" s="26">
        <f>'Clean Swap Data'!G53-'Clean Swap Data'!G52</f>
        <v>9.9999999999988987E-4</v>
      </c>
      <c r="J81" s="26">
        <f>'Clean Swap Data'!H53-'Clean Swap Data'!H52</f>
        <v>1.9999999999997797E-3</v>
      </c>
      <c r="K81" s="26">
        <f>'Clean Swap Data'!I53-'Clean Swap Data'!I52</f>
        <v>3.0000000000001137E-3</v>
      </c>
      <c r="L81" s="26">
        <f>'Clean Swap Data'!J53-'Clean Swap Data'!J52</f>
        <v>2.0000000000002238E-3</v>
      </c>
      <c r="M81" s="26">
        <f>'Clean Swap Data'!K53-'Clean Swap Data'!K52</f>
        <v>3.0000000000001137E-3</v>
      </c>
      <c r="O81" s="23">
        <f ca="1"/>
        <v>6.6784771927836366E-3</v>
      </c>
      <c r="P81" s="23">
        <f ca="1"/>
        <v>1.9174061841501968E-3</v>
      </c>
      <c r="Q81" s="23">
        <f ca="1"/>
        <v>-6.354681199785361E-3</v>
      </c>
      <c r="S81" s="27">
        <f t="shared" si="9"/>
        <v>3.0000000000001137E-3</v>
      </c>
      <c r="T81" s="27">
        <f t="shared" si="16"/>
        <v>8.999999999999897E-3</v>
      </c>
      <c r="U81" s="23">
        <f t="shared" si="17"/>
        <v>-8.999999999999897E-3</v>
      </c>
    </row>
    <row r="82" spans="3:21" x14ac:dyDescent="0.2">
      <c r="C82" s="17">
        <f>'Clean Swap Data'!A54</f>
        <v>43273</v>
      </c>
      <c r="D82" s="26">
        <f>'Clean Swap Data'!B54-'Clean Swap Data'!B53</f>
        <v>4.9999999999998934E-3</v>
      </c>
      <c r="E82" s="26">
        <f>'Clean Swap Data'!C54-'Clean Swap Data'!C53</f>
        <v>-7.0000000000001172E-3</v>
      </c>
      <c r="F82" s="26">
        <f>'Clean Swap Data'!D54-'Clean Swap Data'!D53</f>
        <v>-8.999999999999897E-3</v>
      </c>
      <c r="G82" s="26">
        <f>'Clean Swap Data'!E54-'Clean Swap Data'!E53</f>
        <v>-7.0000000000001172E-3</v>
      </c>
      <c r="H82" s="26">
        <f>'Clean Swap Data'!F54-'Clean Swap Data'!F53</f>
        <v>-5.9999999999997833E-3</v>
      </c>
      <c r="I82" s="26">
        <f>'Clean Swap Data'!G54-'Clean Swap Data'!G53</f>
        <v>-4.9999999999998934E-3</v>
      </c>
      <c r="J82" s="26">
        <f>'Clean Swap Data'!H54-'Clean Swap Data'!H53</f>
        <v>-4.0000000000000036E-3</v>
      </c>
      <c r="K82" s="26">
        <f>'Clean Swap Data'!I54-'Clean Swap Data'!I53</f>
        <v>-4.0000000000000036E-3</v>
      </c>
      <c r="L82" s="26">
        <f>'Clean Swap Data'!J54-'Clean Swap Data'!J53</f>
        <v>-3.0000000000001137E-3</v>
      </c>
      <c r="M82" s="26">
        <f>'Clean Swap Data'!K54-'Clean Swap Data'!K53</f>
        <v>-2.0000000000002238E-3</v>
      </c>
      <c r="O82" s="23">
        <f ca="1"/>
        <v>-1.4707657677267404E-2</v>
      </c>
      <c r="P82" s="23">
        <f ca="1"/>
        <v>2.2658591760810151E-3</v>
      </c>
      <c r="Q82" s="23">
        <f ca="1"/>
        <v>9.2984845388039764E-3</v>
      </c>
      <c r="S82" s="27">
        <f t="shared" si="9"/>
        <v>-2.0000000000002238E-3</v>
      </c>
      <c r="T82" s="27">
        <f t="shared" si="16"/>
        <v>-7.0000000000001172E-3</v>
      </c>
      <c r="U82" s="23">
        <f t="shared" si="17"/>
        <v>2.0999999999999464E-2</v>
      </c>
    </row>
    <row r="83" spans="3:21" x14ac:dyDescent="0.2">
      <c r="C83" s="17">
        <f>'Clean Swap Data'!A55</f>
        <v>43276</v>
      </c>
      <c r="D83" s="26">
        <f>'Clean Swap Data'!B55-'Clean Swap Data'!B54</f>
        <v>-1.2999999999999901E-2</v>
      </c>
      <c r="E83" s="26">
        <f>'Clean Swap Data'!C55-'Clean Swap Data'!C54</f>
        <v>-1.4000000000000234E-2</v>
      </c>
      <c r="F83" s="26">
        <f>'Clean Swap Data'!D55-'Clean Swap Data'!D54</f>
        <v>-2.0000000000000018E-2</v>
      </c>
      <c r="G83" s="26">
        <f>'Clean Swap Data'!E55-'Clean Swap Data'!E54</f>
        <v>-2.2000000000000242E-2</v>
      </c>
      <c r="H83" s="26">
        <f>'Clean Swap Data'!F55-'Clean Swap Data'!F54</f>
        <v>-2.4000000000000021E-2</v>
      </c>
      <c r="I83" s="26">
        <f>'Clean Swap Data'!G55-'Clean Swap Data'!G54</f>
        <v>-2.5000000000000355E-2</v>
      </c>
      <c r="J83" s="26">
        <f>'Clean Swap Data'!H55-'Clean Swap Data'!H54</f>
        <v>-2.7000000000000135E-2</v>
      </c>
      <c r="K83" s="26">
        <f>'Clean Swap Data'!I55-'Clean Swap Data'!I54</f>
        <v>-2.7000000000000135E-2</v>
      </c>
      <c r="L83" s="26">
        <f>'Clean Swap Data'!J55-'Clean Swap Data'!J54</f>
        <v>-2.8000000000000025E-2</v>
      </c>
      <c r="M83" s="26">
        <f>'Clean Swap Data'!K55-'Clean Swap Data'!K54</f>
        <v>-2.8999999999999915E-2</v>
      </c>
      <c r="O83" s="23">
        <f ca="1"/>
        <v>-7.3677881218742747E-2</v>
      </c>
      <c r="P83" s="23">
        <f ca="1"/>
        <v>-5.7723243069231264E-3</v>
      </c>
      <c r="Q83" s="23">
        <f ca="1"/>
        <v>-8.2794036371888029E-3</v>
      </c>
      <c r="S83" s="27">
        <f t="shared" si="9"/>
        <v>-2.8999999999999915E-2</v>
      </c>
      <c r="T83" s="27">
        <f t="shared" si="16"/>
        <v>-1.6000000000000014E-2</v>
      </c>
      <c r="U83" s="23">
        <f t="shared" si="17"/>
        <v>-1.9999999999997797E-3</v>
      </c>
    </row>
    <row r="84" spans="3:21" x14ac:dyDescent="0.2">
      <c r="C84" s="17">
        <f>'Clean Swap Data'!A56</f>
        <v>43277</v>
      </c>
      <c r="D84" s="26">
        <f>'Clean Swap Data'!B56-'Clean Swap Data'!B55</f>
        <v>3.0000000000001137E-3</v>
      </c>
      <c r="E84" s="26">
        <f>'Clean Swap Data'!C56-'Clean Swap Data'!C55</f>
        <v>-9.9999999999988987E-4</v>
      </c>
      <c r="F84" s="26">
        <f>'Clean Swap Data'!D56-'Clean Swap Data'!D55</f>
        <v>-1.9999999999997797E-3</v>
      </c>
      <c r="G84" s="26">
        <f>'Clean Swap Data'!E56-'Clean Swap Data'!E55</f>
        <v>-2.9999999999996696E-3</v>
      </c>
      <c r="H84" s="26">
        <f>'Clean Swap Data'!F56-'Clean Swap Data'!F55</f>
        <v>-2.0000000000002238E-3</v>
      </c>
      <c r="I84" s="26">
        <f>'Clean Swap Data'!G56-'Clean Swap Data'!G55</f>
        <v>-9.9999999999988987E-4</v>
      </c>
      <c r="J84" s="26">
        <f>'Clean Swap Data'!H56-'Clean Swap Data'!H55</f>
        <v>0</v>
      </c>
      <c r="K84" s="26">
        <f>'Clean Swap Data'!I56-'Clean Swap Data'!I55</f>
        <v>0</v>
      </c>
      <c r="L84" s="26">
        <f>'Clean Swap Data'!J56-'Clean Swap Data'!J55</f>
        <v>1.9999999999997797E-3</v>
      </c>
      <c r="M84" s="26">
        <f>'Clean Swap Data'!K56-'Clean Swap Data'!K55</f>
        <v>1.9999999999997797E-3</v>
      </c>
      <c r="O84" s="23">
        <f ca="1"/>
        <v>-1.234265736900574E-3</v>
      </c>
      <c r="P84" s="23">
        <f ca="1"/>
        <v>1.7606803608026023E-3</v>
      </c>
      <c r="Q84" s="23">
        <f ca="1"/>
        <v>5.0801471600327155E-3</v>
      </c>
      <c r="S84" s="27">
        <f t="shared" si="9"/>
        <v>1.9999999999997797E-3</v>
      </c>
      <c r="T84" s="27">
        <f t="shared" si="16"/>
        <v>-1.000000000000334E-3</v>
      </c>
      <c r="U84" s="23">
        <f t="shared" si="17"/>
        <v>8.9999999999994529E-3</v>
      </c>
    </row>
    <row r="85" spans="3:21" x14ac:dyDescent="0.2">
      <c r="C85" s="17">
        <f>'Clean Swap Data'!A57</f>
        <v>43279</v>
      </c>
      <c r="D85" s="26">
        <f>'Clean Swap Data'!B57-'Clean Swap Data'!B56</f>
        <v>-2.0000000000002238E-3</v>
      </c>
      <c r="E85" s="26">
        <f>'Clean Swap Data'!C57-'Clean Swap Data'!C56</f>
        <v>-9.9999999999997868E-3</v>
      </c>
      <c r="F85" s="26">
        <f>'Clean Swap Data'!D57-'Clean Swap Data'!D56</f>
        <v>-1.3000000000000345E-2</v>
      </c>
      <c r="G85" s="26">
        <f>'Clean Swap Data'!E57-'Clean Swap Data'!E56</f>
        <v>-1.6000000000000014E-2</v>
      </c>
      <c r="H85" s="26">
        <f>'Clean Swap Data'!F57-'Clean Swap Data'!F56</f>
        <v>-1.7999999999999794E-2</v>
      </c>
      <c r="I85" s="26">
        <f>'Clean Swap Data'!G57-'Clean Swap Data'!G56</f>
        <v>-2.0000000000000018E-2</v>
      </c>
      <c r="J85" s="26">
        <f>'Clean Swap Data'!H57-'Clean Swap Data'!H56</f>
        <v>-2.1999999999999797E-2</v>
      </c>
      <c r="K85" s="26">
        <f>'Clean Swap Data'!I57-'Clean Swap Data'!I56</f>
        <v>-2.4000000000000021E-2</v>
      </c>
      <c r="L85" s="26">
        <f>'Clean Swap Data'!J57-'Clean Swap Data'!J56</f>
        <v>-2.5999999999999801E-2</v>
      </c>
      <c r="M85" s="26">
        <f>'Clean Swap Data'!K57-'Clean Swap Data'!K56</f>
        <v>-2.6999999999999691E-2</v>
      </c>
      <c r="O85" s="23">
        <f ca="1"/>
        <v>-5.9167554653165734E-2</v>
      </c>
      <c r="P85" s="23">
        <f ca="1"/>
        <v>-1.4181968022145591E-2</v>
      </c>
      <c r="Q85" s="23">
        <f ca="1"/>
        <v>-2.8561428121796958E-3</v>
      </c>
      <c r="S85" s="27">
        <f t="shared" si="9"/>
        <v>-2.6999999999999691E-2</v>
      </c>
      <c r="T85" s="27">
        <f t="shared" si="16"/>
        <v>-2.4999999999999467E-2</v>
      </c>
      <c r="U85" s="23">
        <f t="shared" si="17"/>
        <v>-2.9999999999992255E-3</v>
      </c>
    </row>
    <row r="86" spans="3:21" x14ac:dyDescent="0.2">
      <c r="C86" s="17">
        <f>'Clean Swap Data'!A58</f>
        <v>43280</v>
      </c>
      <c r="D86" s="26">
        <f>'Clean Swap Data'!B58-'Clean Swap Data'!B57</f>
        <v>3.0000000000001137E-3</v>
      </c>
      <c r="E86" s="26">
        <f>'Clean Swap Data'!C58-'Clean Swap Data'!C57</f>
        <v>1.0999999999999677E-2</v>
      </c>
      <c r="F86" s="26">
        <f>'Clean Swap Data'!D58-'Clean Swap Data'!D57</f>
        <v>1.7000000000000348E-2</v>
      </c>
      <c r="G86" s="26">
        <f>'Clean Swap Data'!E58-'Clean Swap Data'!E57</f>
        <v>1.7999999999999794E-2</v>
      </c>
      <c r="H86" s="26">
        <f>'Clean Swap Data'!F58-'Clean Swap Data'!F57</f>
        <v>1.6000000000000014E-2</v>
      </c>
      <c r="I86" s="26">
        <f>'Clean Swap Data'!G58-'Clean Swap Data'!G57</f>
        <v>1.2999999999999901E-2</v>
      </c>
      <c r="J86" s="26">
        <f>'Clean Swap Data'!H58-'Clean Swap Data'!H57</f>
        <v>1.1000000000000121E-2</v>
      </c>
      <c r="K86" s="26">
        <f>'Clean Swap Data'!I58-'Clean Swap Data'!I57</f>
        <v>8.999999999999897E-3</v>
      </c>
      <c r="L86" s="26">
        <f>'Clean Swap Data'!J58-'Clean Swap Data'!J57</f>
        <v>7.0000000000001172E-3</v>
      </c>
      <c r="M86" s="26">
        <f>'Clean Swap Data'!K58-'Clean Swap Data'!K57</f>
        <v>5.9999999999997833E-3</v>
      </c>
      <c r="O86" s="23">
        <f ca="1"/>
        <v>3.5987984219132289E-2</v>
      </c>
      <c r="P86" s="23">
        <f ca="1"/>
        <v>-8.4199558687040911E-3</v>
      </c>
      <c r="Q86" s="23">
        <f ca="1"/>
        <v>-7.4206125610831175E-3</v>
      </c>
      <c r="S86" s="27">
        <f t="shared" si="9"/>
        <v>5.9999999999997833E-3</v>
      </c>
      <c r="T86" s="27">
        <f t="shared" si="16"/>
        <v>2.9999999999996696E-3</v>
      </c>
      <c r="U86" s="23">
        <f t="shared" si="17"/>
        <v>-2.5000000000000799E-2</v>
      </c>
    </row>
    <row r="87" spans="3:21" x14ac:dyDescent="0.2">
      <c r="C87" s="17">
        <f>'Clean Swap Data'!A59</f>
        <v>43283</v>
      </c>
      <c r="D87" s="26">
        <f>'Clean Swap Data'!B59-'Clean Swap Data'!B58</f>
        <v>1.2999999999999901E-2</v>
      </c>
      <c r="E87" s="26">
        <f>'Clean Swap Data'!C59-'Clean Swap Data'!C58</f>
        <v>8.0000000000000071E-3</v>
      </c>
      <c r="F87" s="26">
        <f>'Clean Swap Data'!D59-'Clean Swap Data'!D58</f>
        <v>8.0000000000000071E-3</v>
      </c>
      <c r="G87" s="26">
        <f>'Clean Swap Data'!E59-'Clean Swap Data'!E58</f>
        <v>6.0000000000002274E-3</v>
      </c>
      <c r="H87" s="26">
        <f>'Clean Swap Data'!F59-'Clean Swap Data'!F58</f>
        <v>6.9999999999996732E-3</v>
      </c>
      <c r="I87" s="26">
        <f>'Clean Swap Data'!G59-'Clean Swap Data'!G58</f>
        <v>8.0000000000000071E-3</v>
      </c>
      <c r="J87" s="26">
        <f>'Clean Swap Data'!H59-'Clean Swap Data'!H58</f>
        <v>8.999999999999897E-3</v>
      </c>
      <c r="K87" s="26">
        <f>'Clean Swap Data'!I59-'Clean Swap Data'!I58</f>
        <v>1.1000000000000121E-2</v>
      </c>
      <c r="L87" s="26">
        <f>'Clean Swap Data'!J59-'Clean Swap Data'!J58</f>
        <v>1.2000000000000011E-2</v>
      </c>
      <c r="M87" s="26">
        <f>'Clean Swap Data'!K59-'Clean Swap Data'!K58</f>
        <v>1.2000000000000011E-2</v>
      </c>
      <c r="O87" s="23">
        <f ca="1"/>
        <v>2.837880876488174E-2</v>
      </c>
      <c r="P87" s="23">
        <f ca="1"/>
        <v>-2.0192870875072573E-3</v>
      </c>
      <c r="Q87" s="23">
        <f ca="1"/>
        <v>1.061567739882255E-2</v>
      </c>
      <c r="S87" s="27">
        <f t="shared" si="9"/>
        <v>1.2000000000000011E-2</v>
      </c>
      <c r="T87" s="27">
        <f t="shared" si="16"/>
        <v>-9.9999999999988987E-4</v>
      </c>
      <c r="U87" s="23">
        <f t="shared" si="17"/>
        <v>8.999999999999897E-3</v>
      </c>
    </row>
    <row r="88" spans="3:21" x14ac:dyDescent="0.2">
      <c r="C88" s="17">
        <f>'Clean Swap Data'!A60</f>
        <v>43284</v>
      </c>
      <c r="D88" s="26">
        <f>'Clean Swap Data'!B60-'Clean Swap Data'!B59</f>
        <v>-1.1000000000000121E-2</v>
      </c>
      <c r="E88" s="26">
        <f>'Clean Swap Data'!C60-'Clean Swap Data'!C59</f>
        <v>-5.9999999999997833E-3</v>
      </c>
      <c r="F88" s="26">
        <f>'Clean Swap Data'!D60-'Clean Swap Data'!D59</f>
        <v>-6.0000000000002274E-3</v>
      </c>
      <c r="G88" s="26">
        <f>'Clean Swap Data'!E60-'Clean Swap Data'!E59</f>
        <v>-8.0000000000000071E-3</v>
      </c>
      <c r="H88" s="26">
        <f>'Clean Swap Data'!F60-'Clean Swap Data'!F59</f>
        <v>-1.0999999999999677E-2</v>
      </c>
      <c r="I88" s="26">
        <f>'Clean Swap Data'!G60-'Clean Swap Data'!G59</f>
        <v>-1.2000000000000011E-2</v>
      </c>
      <c r="J88" s="26">
        <f>'Clean Swap Data'!H60-'Clean Swap Data'!H59</f>
        <v>-1.2999999999999901E-2</v>
      </c>
      <c r="K88" s="26">
        <f>'Clean Swap Data'!I60-'Clean Swap Data'!I59</f>
        <v>-1.5000000000000124E-2</v>
      </c>
      <c r="L88" s="26">
        <f>'Clean Swap Data'!J60-'Clean Swap Data'!J59</f>
        <v>-1.5000000000000124E-2</v>
      </c>
      <c r="M88" s="26">
        <f>'Clean Swap Data'!K60-'Clean Swap Data'!K59</f>
        <v>-1.5000000000000124E-2</v>
      </c>
      <c r="O88" s="23">
        <f ca="1"/>
        <v>-3.5159670806352204E-2</v>
      </c>
      <c r="P88" s="23">
        <f ca="1"/>
        <v>-3.9896962757602445E-3</v>
      </c>
      <c r="Q88" s="23">
        <f ca="1"/>
        <v>-1.0502512602975819E-2</v>
      </c>
      <c r="S88" s="27">
        <f t="shared" si="9"/>
        <v>-1.5000000000000124E-2</v>
      </c>
      <c r="T88" s="27">
        <f t="shared" si="16"/>
        <v>-4.0000000000000036E-3</v>
      </c>
      <c r="U88" s="23">
        <f t="shared" si="17"/>
        <v>-1.399999999999979E-2</v>
      </c>
    </row>
    <row r="89" spans="3:21" x14ac:dyDescent="0.2">
      <c r="C89" s="17">
        <f>'Clean Swap Data'!A61</f>
        <v>43286</v>
      </c>
      <c r="D89" s="26">
        <f>'Clean Swap Data'!B61-'Clean Swap Data'!B60</f>
        <v>2.2000000000000242E-2</v>
      </c>
      <c r="E89" s="26">
        <f>'Clean Swap Data'!C61-'Clean Swap Data'!C60</f>
        <v>7.0000000000001172E-3</v>
      </c>
      <c r="F89" s="26">
        <f>'Clean Swap Data'!D61-'Clean Swap Data'!D60</f>
        <v>4.0000000000000036E-3</v>
      </c>
      <c r="G89" s="26">
        <f>'Clean Swap Data'!E61-'Clean Swap Data'!E60</f>
        <v>9.9999999999988987E-4</v>
      </c>
      <c r="H89" s="26">
        <f>'Clean Swap Data'!F61-'Clean Swap Data'!F60</f>
        <v>-2.0000000000002238E-3</v>
      </c>
      <c r="I89" s="26">
        <f>'Clean Swap Data'!G61-'Clean Swap Data'!G60</f>
        <v>-4.0000000000000036E-3</v>
      </c>
      <c r="J89" s="26">
        <f>'Clean Swap Data'!H61-'Clean Swap Data'!H60</f>
        <v>-5.0000000000003375E-3</v>
      </c>
      <c r="K89" s="26">
        <f>'Clean Swap Data'!I61-'Clean Swap Data'!I60</f>
        <v>-6.9999999999996732E-3</v>
      </c>
      <c r="L89" s="26">
        <f>'Clean Swap Data'!J61-'Clean Swap Data'!J60</f>
        <v>-8.999999999999897E-3</v>
      </c>
      <c r="M89" s="26">
        <f>'Clean Swap Data'!K61-'Clean Swap Data'!K60</f>
        <v>-8.999999999999897E-3</v>
      </c>
      <c r="O89" s="23">
        <f ca="1"/>
        <v>-6.1381358915878785E-3</v>
      </c>
      <c r="P89" s="23">
        <f ca="1"/>
        <v>-2.5087496143933095E-2</v>
      </c>
      <c r="Q89" s="23">
        <f ca="1"/>
        <v>1.168793272074036E-2</v>
      </c>
      <c r="S89" s="27">
        <f t="shared" si="9"/>
        <v>-8.999999999999897E-3</v>
      </c>
      <c r="T89" s="27">
        <f t="shared" si="16"/>
        <v>-3.1000000000000139E-2</v>
      </c>
      <c r="U89" s="23">
        <f t="shared" si="17"/>
        <v>5.0000000000003375E-3</v>
      </c>
    </row>
    <row r="90" spans="3:21" x14ac:dyDescent="0.2">
      <c r="C90" s="17">
        <f>'Clean Swap Data'!A62</f>
        <v>43287</v>
      </c>
      <c r="D90" s="26">
        <f>'Clean Swap Data'!B62-'Clean Swap Data'!B61</f>
        <v>-1.2999999999999901E-2</v>
      </c>
      <c r="E90" s="26">
        <f>'Clean Swap Data'!C62-'Clean Swap Data'!C61</f>
        <v>-1.000000000000334E-3</v>
      </c>
      <c r="F90" s="26">
        <f>'Clean Swap Data'!D62-'Clean Swap Data'!D61</f>
        <v>-3.0000000000001137E-3</v>
      </c>
      <c r="G90" s="26">
        <f>'Clean Swap Data'!E62-'Clean Swap Data'!E61</f>
        <v>-3.0000000000001137E-3</v>
      </c>
      <c r="H90" s="26">
        <f>'Clean Swap Data'!F62-'Clean Swap Data'!F61</f>
        <v>-9.9999999999988987E-4</v>
      </c>
      <c r="I90" s="26">
        <f>'Clean Swap Data'!G62-'Clean Swap Data'!G61</f>
        <v>-1.9999999999997797E-3</v>
      </c>
      <c r="J90" s="26">
        <f>'Clean Swap Data'!H62-'Clean Swap Data'!H61</f>
        <v>-4.0000000000000036E-3</v>
      </c>
      <c r="K90" s="26">
        <f>'Clean Swap Data'!I62-'Clean Swap Data'!I61</f>
        <v>-3.0000000000001137E-3</v>
      </c>
      <c r="L90" s="26">
        <f>'Clean Swap Data'!J62-'Clean Swap Data'!J61</f>
        <v>-4.0000000000000036E-3</v>
      </c>
      <c r="M90" s="26">
        <f>'Clean Swap Data'!K62-'Clean Swap Data'!K61</f>
        <v>-4.9999999999998934E-3</v>
      </c>
      <c r="O90" s="23">
        <f ca="1"/>
        <v>-1.0260415160570278E-2</v>
      </c>
      <c r="P90" s="23">
        <f ca="1"/>
        <v>4.1925312579523715E-3</v>
      </c>
      <c r="Q90" s="23">
        <f ca="1"/>
        <v>-1.1328390777674674E-2</v>
      </c>
      <c r="S90" s="27">
        <f t="shared" si="9"/>
        <v>-4.9999999999998934E-3</v>
      </c>
      <c r="T90" s="27">
        <f t="shared" si="16"/>
        <v>8.0000000000000071E-3</v>
      </c>
      <c r="U90" s="23">
        <f t="shared" si="17"/>
        <v>-1.1999999999999567E-2</v>
      </c>
    </row>
    <row r="91" spans="3:21" x14ac:dyDescent="0.2">
      <c r="C91" s="17">
        <f>'Clean Swap Data'!A63</f>
        <v>43290</v>
      </c>
      <c r="D91" s="26">
        <f>'Clean Swap Data'!B63-'Clean Swap Data'!B62</f>
        <v>1.0999999999999677E-2</v>
      </c>
      <c r="E91" s="26">
        <f>'Clean Swap Data'!C63-'Clean Swap Data'!C62</f>
        <v>1.3000000000000345E-2</v>
      </c>
      <c r="F91" s="26">
        <f>'Clean Swap Data'!D63-'Clean Swap Data'!D62</f>
        <v>1.4000000000000234E-2</v>
      </c>
      <c r="G91" s="26">
        <f>'Clean Swap Data'!E63-'Clean Swap Data'!E62</f>
        <v>1.5000000000000124E-2</v>
      </c>
      <c r="H91" s="26">
        <f>'Clean Swap Data'!F63-'Clean Swap Data'!F62</f>
        <v>1.6999999999999904E-2</v>
      </c>
      <c r="I91" s="26">
        <f>'Clean Swap Data'!G63-'Clean Swap Data'!G62</f>
        <v>2.0000000000000018E-2</v>
      </c>
      <c r="J91" s="26">
        <f>'Clean Swap Data'!H63-'Clean Swap Data'!H62</f>
        <v>2.3000000000000131E-2</v>
      </c>
      <c r="K91" s="26">
        <f>'Clean Swap Data'!I63-'Clean Swap Data'!I62</f>
        <v>2.4999999999999911E-2</v>
      </c>
      <c r="L91" s="26">
        <f>'Clean Swap Data'!J63-'Clean Swap Data'!J62</f>
        <v>2.6999999999999691E-2</v>
      </c>
      <c r="M91" s="26">
        <f>'Clean Swap Data'!K63-'Clean Swap Data'!K62</f>
        <v>2.8000000000000025E-2</v>
      </c>
      <c r="O91" s="23">
        <f ca="1"/>
        <v>6.2047699014327287E-2</v>
      </c>
      <c r="P91" s="23">
        <f ca="1"/>
        <v>9.1926751315812398E-3</v>
      </c>
      <c r="Q91" s="23">
        <f ca="1"/>
        <v>1.0430013043788419E-2</v>
      </c>
      <c r="S91" s="27">
        <f t="shared" si="9"/>
        <v>2.8000000000000025E-2</v>
      </c>
      <c r="T91" s="27">
        <f t="shared" si="16"/>
        <v>1.7000000000000348E-2</v>
      </c>
      <c r="U91" s="23">
        <f t="shared" si="17"/>
        <v>1.0999999999999233E-2</v>
      </c>
    </row>
    <row r="92" spans="3:21" x14ac:dyDescent="0.2">
      <c r="C92" s="17">
        <f>'Clean Swap Data'!A64</f>
        <v>43291</v>
      </c>
      <c r="D92" s="26">
        <f>'Clean Swap Data'!B64-'Clean Swap Data'!B63</f>
        <v>1.2999999999999901E-2</v>
      </c>
      <c r="E92" s="26">
        <f>'Clean Swap Data'!C64-'Clean Swap Data'!C63</f>
        <v>5.9999999999997833E-3</v>
      </c>
      <c r="F92" s="26">
        <f>'Clean Swap Data'!D64-'Clean Swap Data'!D63</f>
        <v>5.9999999999997833E-3</v>
      </c>
      <c r="G92" s="26">
        <f>'Clean Swap Data'!E64-'Clean Swap Data'!E63</f>
        <v>8.0000000000000071E-3</v>
      </c>
      <c r="H92" s="26">
        <f>'Clean Swap Data'!F64-'Clean Swap Data'!F63</f>
        <v>8.0000000000000071E-3</v>
      </c>
      <c r="I92" s="26">
        <f>'Clean Swap Data'!G64-'Clean Swap Data'!G63</f>
        <v>8.999999999999897E-3</v>
      </c>
      <c r="J92" s="26">
        <f>'Clean Swap Data'!H64-'Clean Swap Data'!H63</f>
        <v>1.0000000000000231E-2</v>
      </c>
      <c r="K92" s="26">
        <f>'Clean Swap Data'!I64-'Clean Swap Data'!I63</f>
        <v>1.1000000000000121E-2</v>
      </c>
      <c r="L92" s="26">
        <f>'Clean Swap Data'!J64-'Clean Swap Data'!J63</f>
        <v>1.2000000000000011E-2</v>
      </c>
      <c r="M92" s="26">
        <f>'Clean Swap Data'!K64-'Clean Swap Data'!K63</f>
        <v>1.2000000000000011E-2</v>
      </c>
      <c r="O92" s="23">
        <f ca="1"/>
        <v>2.8912476553597265E-2</v>
      </c>
      <c r="P92" s="23">
        <f ca="1"/>
        <v>-5.9072660846722688E-4</v>
      </c>
      <c r="Q92" s="23">
        <f ca="1"/>
        <v>1.1008948827669379E-2</v>
      </c>
      <c r="S92" s="27">
        <f t="shared" si="9"/>
        <v>1.2000000000000011E-2</v>
      </c>
      <c r="T92" s="27">
        <f t="shared" si="16"/>
        <v>-9.9999999999988987E-4</v>
      </c>
      <c r="U92" s="23">
        <f t="shared" si="17"/>
        <v>1.3000000000000345E-2</v>
      </c>
    </row>
    <row r="93" spans="3:21" x14ac:dyDescent="0.2">
      <c r="C93" s="17">
        <f>'Clean Swap Data'!A65</f>
        <v>43292</v>
      </c>
      <c r="D93" s="26">
        <f>'Clean Swap Data'!B65-'Clean Swap Data'!B64</f>
        <v>-9.9999999999997868E-3</v>
      </c>
      <c r="E93" s="26">
        <f>'Clean Swap Data'!C65-'Clean Swap Data'!C64</f>
        <v>6.0000000000002274E-3</v>
      </c>
      <c r="F93" s="26">
        <f>'Clean Swap Data'!D65-'Clean Swap Data'!D64</f>
        <v>3.0000000000001137E-3</v>
      </c>
      <c r="G93" s="26">
        <f>'Clean Swap Data'!E65-'Clean Swap Data'!E64</f>
        <v>-9.9999999999988987E-4</v>
      </c>
      <c r="H93" s="26">
        <f>'Clean Swap Data'!F65-'Clean Swap Data'!F64</f>
        <v>-4.0000000000000036E-3</v>
      </c>
      <c r="I93" s="26">
        <f>'Clean Swap Data'!G65-'Clean Swap Data'!G64</f>
        <v>-5.9999999999997833E-3</v>
      </c>
      <c r="J93" s="26">
        <f>'Clean Swap Data'!H65-'Clean Swap Data'!H64</f>
        <v>-8.0000000000000071E-3</v>
      </c>
      <c r="K93" s="26">
        <f>'Clean Swap Data'!I65-'Clean Swap Data'!I64</f>
        <v>-8.999999999999897E-3</v>
      </c>
      <c r="L93" s="26">
        <f>'Clean Swap Data'!J65-'Clean Swap Data'!J64</f>
        <v>-1.0999999999999677E-2</v>
      </c>
      <c r="M93" s="26">
        <f>'Clean Swap Data'!K65-'Clean Swap Data'!K64</f>
        <v>-1.2000000000000011E-2</v>
      </c>
      <c r="O93" s="23">
        <f ca="1"/>
        <v>-1.6005640807224455E-2</v>
      </c>
      <c r="P93" s="23">
        <f ca="1"/>
        <v>-1.0334912913628732E-2</v>
      </c>
      <c r="Q93" s="23">
        <f ca="1"/>
        <v>-1.5383314849873344E-2</v>
      </c>
      <c r="S93" s="27">
        <f t="shared" si="9"/>
        <v>-1.2000000000000011E-2</v>
      </c>
      <c r="T93" s="27">
        <f t="shared" si="16"/>
        <v>-2.0000000000002238E-3</v>
      </c>
      <c r="U93" s="23">
        <f t="shared" si="17"/>
        <v>-2.8000000000000025E-2</v>
      </c>
    </row>
    <row r="94" spans="3:21" x14ac:dyDescent="0.2">
      <c r="C94" s="17">
        <f>'Clean Swap Data'!A66</f>
        <v>43293</v>
      </c>
      <c r="D94" s="26">
        <f>'Clean Swap Data'!B66-'Clean Swap Data'!B65</f>
        <v>1.399999999999979E-2</v>
      </c>
      <c r="E94" s="26">
        <f>'Clean Swap Data'!C66-'Clean Swap Data'!C65</f>
        <v>-2.0000000000002238E-3</v>
      </c>
      <c r="F94" s="26">
        <f>'Clean Swap Data'!D66-'Clean Swap Data'!D65</f>
        <v>-7.0000000000001172E-3</v>
      </c>
      <c r="G94" s="26">
        <f>'Clean Swap Data'!E66-'Clean Swap Data'!E65</f>
        <v>-9.0000000000003411E-3</v>
      </c>
      <c r="H94" s="26">
        <f>'Clean Swap Data'!F66-'Clean Swap Data'!F65</f>
        <v>-9.9999999999997868E-3</v>
      </c>
      <c r="I94" s="26">
        <f>'Clean Swap Data'!G66-'Clean Swap Data'!G65</f>
        <v>-1.0000000000000231E-2</v>
      </c>
      <c r="J94" s="26">
        <f>'Clean Swap Data'!H66-'Clean Swap Data'!H65</f>
        <v>-9.0000000000003411E-3</v>
      </c>
      <c r="K94" s="26">
        <f>'Clean Swap Data'!I66-'Clean Swap Data'!I65</f>
        <v>-1.0000000000000231E-2</v>
      </c>
      <c r="L94" s="26">
        <f>'Clean Swap Data'!J66-'Clean Swap Data'!J65</f>
        <v>-9.0000000000003411E-3</v>
      </c>
      <c r="M94" s="26">
        <f>'Clean Swap Data'!K66-'Clean Swap Data'!K65</f>
        <v>-1.0000000000000231E-2</v>
      </c>
      <c r="O94" s="23">
        <f ca="1"/>
        <v>-2.3918239302094382E-2</v>
      </c>
      <c r="P94" s="23">
        <f ca="1"/>
        <v>-1.2278550766378538E-2</v>
      </c>
      <c r="Q94" s="23">
        <f ca="1"/>
        <v>1.2832844886860107E-2</v>
      </c>
      <c r="S94" s="27">
        <f t="shared" si="9"/>
        <v>-1.0000000000000231E-2</v>
      </c>
      <c r="T94" s="27">
        <f t="shared" si="16"/>
        <v>-2.4000000000000021E-2</v>
      </c>
      <c r="U94" s="23">
        <f t="shared" si="17"/>
        <v>1.7999999999999794E-2</v>
      </c>
    </row>
    <row r="95" spans="3:21" x14ac:dyDescent="0.2">
      <c r="C95" s="17">
        <f>'Clean Swap Data'!A67</f>
        <v>43294</v>
      </c>
      <c r="D95" s="26">
        <f>'Clean Swap Data'!B67-'Clean Swap Data'!B66</f>
        <v>-9.9999999999997868E-3</v>
      </c>
      <c r="E95" s="26">
        <f>'Clean Swap Data'!C67-'Clean Swap Data'!C66</f>
        <v>-1.399999999999979E-2</v>
      </c>
      <c r="F95" s="26">
        <f>'Clean Swap Data'!D67-'Clean Swap Data'!D66</f>
        <v>-1.6999999999999904E-2</v>
      </c>
      <c r="G95" s="26">
        <f>'Clean Swap Data'!E67-'Clean Swap Data'!E66</f>
        <v>-1.6999999999999904E-2</v>
      </c>
      <c r="H95" s="26">
        <f>'Clean Swap Data'!F67-'Clean Swap Data'!F66</f>
        <v>-1.6000000000000014E-2</v>
      </c>
      <c r="I95" s="26">
        <f>'Clean Swap Data'!G67-'Clean Swap Data'!G66</f>
        <v>-1.7999999999999794E-2</v>
      </c>
      <c r="J95" s="26">
        <f>'Clean Swap Data'!H67-'Clean Swap Data'!H66</f>
        <v>-2.0000000000000018E-2</v>
      </c>
      <c r="K95" s="26">
        <f>'Clean Swap Data'!I67-'Clean Swap Data'!I66</f>
        <v>-2.0000000000000018E-2</v>
      </c>
      <c r="L95" s="26">
        <f>'Clean Swap Data'!J67-'Clean Swap Data'!J66</f>
        <v>-2.0999999999999908E-2</v>
      </c>
      <c r="M95" s="26">
        <f>'Clean Swap Data'!K67-'Clean Swap Data'!K66</f>
        <v>-2.0000000000000018E-2</v>
      </c>
      <c r="O95" s="23">
        <f ca="1"/>
        <v>-5.5326379780529775E-2</v>
      </c>
      <c r="P95" s="23">
        <f ca="1"/>
        <v>-1.0063246274979402E-3</v>
      </c>
      <c r="Q95" s="23">
        <f ca="1"/>
        <v>-4.8778754313622084E-3</v>
      </c>
      <c r="S95" s="27">
        <f t="shared" si="9"/>
        <v>-2.0000000000000018E-2</v>
      </c>
      <c r="T95" s="27">
        <f t="shared" si="16"/>
        <v>-1.0000000000000231E-2</v>
      </c>
      <c r="U95" s="23">
        <f t="shared" si="17"/>
        <v>4.0000000000000036E-3</v>
      </c>
    </row>
    <row r="96" spans="3:21" x14ac:dyDescent="0.2">
      <c r="C96" s="17">
        <f>'Clean Swap Data'!A68</f>
        <v>43297</v>
      </c>
      <c r="D96" s="26">
        <f>'Clean Swap Data'!B68-'Clean Swap Data'!B67</f>
        <v>8.0000000000000071E-3</v>
      </c>
      <c r="E96" s="26">
        <f>'Clean Swap Data'!C68-'Clean Swap Data'!C67</f>
        <v>2.1999999999999797E-2</v>
      </c>
      <c r="F96" s="26">
        <f>'Clean Swap Data'!D68-'Clean Swap Data'!D67</f>
        <v>2.5999999999999801E-2</v>
      </c>
      <c r="G96" s="26">
        <f>'Clean Swap Data'!E68-'Clean Swap Data'!E67</f>
        <v>3.8000000000000256E-2</v>
      </c>
      <c r="H96" s="26">
        <f>'Clean Swap Data'!F68-'Clean Swap Data'!F67</f>
        <v>3.0999999999999694E-2</v>
      </c>
      <c r="I96" s="26">
        <f>'Clean Swap Data'!G68-'Clean Swap Data'!G67</f>
        <v>3.2999999999999918E-2</v>
      </c>
      <c r="J96" s="26">
        <f>'Clean Swap Data'!H68-'Clean Swap Data'!H67</f>
        <v>3.5000000000000142E-2</v>
      </c>
      <c r="K96" s="26">
        <f>'Clean Swap Data'!I68-'Clean Swap Data'!I67</f>
        <v>3.4000000000000252E-2</v>
      </c>
      <c r="L96" s="26">
        <f>'Clean Swap Data'!J68-'Clean Swap Data'!J67</f>
        <v>3.6000000000000032E-2</v>
      </c>
      <c r="M96" s="26">
        <f>'Clean Swap Data'!K68-'Clean Swap Data'!K67</f>
        <v>3.6000000000000032E-2</v>
      </c>
      <c r="O96" s="23">
        <f ca="1"/>
        <v>9.7886390669792711E-2</v>
      </c>
      <c r="P96" s="23">
        <f ca="1"/>
        <v>7.2064168331666106E-3</v>
      </c>
      <c r="Q96" s="23">
        <f ca="1"/>
        <v>-2.9501924638105671E-4</v>
      </c>
      <c r="S96" s="27">
        <f t="shared" si="9"/>
        <v>3.6000000000000032E-2</v>
      </c>
      <c r="T96" s="27">
        <f t="shared" si="16"/>
        <v>2.8000000000000025E-2</v>
      </c>
      <c r="U96" s="23">
        <f t="shared" si="17"/>
        <v>-7.999999999999563E-3</v>
      </c>
    </row>
    <row r="97" spans="3:21" x14ac:dyDescent="0.2">
      <c r="C97" s="17">
        <f>'Clean Swap Data'!A69</f>
        <v>43298</v>
      </c>
      <c r="D97" s="26">
        <f>'Clean Swap Data'!B69-'Clean Swap Data'!B68</f>
        <v>9.9999999999997868E-3</v>
      </c>
      <c r="E97" s="26">
        <f>'Clean Swap Data'!C69-'Clean Swap Data'!C68</f>
        <v>2.0000000000002238E-3</v>
      </c>
      <c r="F97" s="26">
        <f>'Clean Swap Data'!D69-'Clean Swap Data'!D68</f>
        <v>0</v>
      </c>
      <c r="G97" s="26">
        <f>'Clean Swap Data'!E69-'Clean Swap Data'!E68</f>
        <v>-1.3000000000000345E-2</v>
      </c>
      <c r="H97" s="26">
        <f>'Clean Swap Data'!F69-'Clean Swap Data'!F68</f>
        <v>-5.9999999999997833E-3</v>
      </c>
      <c r="I97" s="26">
        <f>'Clean Swap Data'!G69-'Clean Swap Data'!G68</f>
        <v>-8.0000000000000071E-3</v>
      </c>
      <c r="J97" s="26">
        <f>'Clean Swap Data'!H69-'Clean Swap Data'!H68</f>
        <v>-8.0000000000000071E-3</v>
      </c>
      <c r="K97" s="26">
        <f>'Clean Swap Data'!I69-'Clean Swap Data'!I68</f>
        <v>-1.0000000000000231E-2</v>
      </c>
      <c r="L97" s="26">
        <f>'Clean Swap Data'!J69-'Clean Swap Data'!J68</f>
        <v>-1.1000000000000121E-2</v>
      </c>
      <c r="M97" s="26">
        <f>'Clean Swap Data'!K69-'Clean Swap Data'!K68</f>
        <v>-1.0999999999999677E-2</v>
      </c>
      <c r="O97" s="23">
        <f ca="1"/>
        <v>-2.1059154458097994E-2</v>
      </c>
      <c r="P97" s="23">
        <f ca="1"/>
        <v>-1.4816125892187971E-2</v>
      </c>
      <c r="Q97" s="23">
        <f ca="1"/>
        <v>6.4175739896898589E-3</v>
      </c>
      <c r="S97" s="27">
        <f t="shared" ref="S97:S160" si="22">AVERAGE(M97)</f>
        <v>-1.0999999999999677E-2</v>
      </c>
      <c r="T97" s="27">
        <f t="shared" si="16"/>
        <v>-2.0999999999999464E-2</v>
      </c>
      <c r="U97" s="23">
        <f t="shared" si="17"/>
        <v>-9.9999999999988987E-4</v>
      </c>
    </row>
    <row r="98" spans="3:21" x14ac:dyDescent="0.2">
      <c r="C98" s="17">
        <f>'Clean Swap Data'!A70</f>
        <v>43299</v>
      </c>
      <c r="D98" s="26">
        <f>'Clean Swap Data'!B70-'Clean Swap Data'!B69</f>
        <v>4.0000000000000036E-3</v>
      </c>
      <c r="E98" s="26">
        <f>'Clean Swap Data'!C70-'Clean Swap Data'!C69</f>
        <v>0</v>
      </c>
      <c r="F98" s="26">
        <f>'Clean Swap Data'!D70-'Clean Swap Data'!D69</f>
        <v>0</v>
      </c>
      <c r="G98" s="26">
        <f>'Clean Swap Data'!E70-'Clean Swap Data'!E69</f>
        <v>1.000000000000334E-3</v>
      </c>
      <c r="H98" s="26">
        <f>'Clean Swap Data'!F70-'Clean Swap Data'!F69</f>
        <v>9.9999999999988987E-4</v>
      </c>
      <c r="I98" s="26">
        <f>'Clean Swap Data'!G70-'Clean Swap Data'!G69</f>
        <v>3.0000000000001137E-3</v>
      </c>
      <c r="J98" s="26">
        <f>'Clean Swap Data'!H70-'Clean Swap Data'!H69</f>
        <v>9.9999999999988987E-4</v>
      </c>
      <c r="K98" s="26">
        <f>'Clean Swap Data'!I70-'Clean Swap Data'!I69</f>
        <v>4.0000000000000036E-3</v>
      </c>
      <c r="L98" s="26">
        <f>'Clean Swap Data'!J70-'Clean Swap Data'!J69</f>
        <v>3.0000000000001137E-3</v>
      </c>
      <c r="M98" s="26">
        <f>'Clean Swap Data'!K70-'Clean Swap Data'!K69</f>
        <v>4.0000000000000036E-3</v>
      </c>
      <c r="O98" s="23">
        <f ca="1"/>
        <v>6.2645443014319561E-3</v>
      </c>
      <c r="P98" s="23">
        <f ca="1"/>
        <v>1.4852625125050967E-3</v>
      </c>
      <c r="Q98" s="23">
        <f ca="1"/>
        <v>4.7363221256854588E-3</v>
      </c>
      <c r="S98" s="27">
        <f t="shared" si="22"/>
        <v>4.0000000000000036E-3</v>
      </c>
      <c r="T98" s="27">
        <f t="shared" si="16"/>
        <v>0</v>
      </c>
      <c r="U98" s="23">
        <f t="shared" si="17"/>
        <v>8.0000000000000071E-3</v>
      </c>
    </row>
    <row r="99" spans="3:21" x14ac:dyDescent="0.2">
      <c r="C99" s="17">
        <f>'Clean Swap Data'!A71</f>
        <v>43300</v>
      </c>
      <c r="D99" s="26">
        <f>'Clean Swap Data'!B71-'Clean Swap Data'!B70</f>
        <v>-9.9999999999997868E-3</v>
      </c>
      <c r="E99" s="26">
        <f>'Clean Swap Data'!C71-'Clean Swap Data'!C70</f>
        <v>1.9999999999997797E-3</v>
      </c>
      <c r="F99" s="26">
        <f>'Clean Swap Data'!D71-'Clean Swap Data'!D70</f>
        <v>-9.9999999999988987E-4</v>
      </c>
      <c r="G99" s="26">
        <f>'Clean Swap Data'!E71-'Clean Swap Data'!E70</f>
        <v>-1.000000000000334E-3</v>
      </c>
      <c r="H99" s="26">
        <f>'Clean Swap Data'!F71-'Clean Swap Data'!F70</f>
        <v>0</v>
      </c>
      <c r="I99" s="26">
        <f>'Clean Swap Data'!G71-'Clean Swap Data'!G70</f>
        <v>-1.000000000000334E-3</v>
      </c>
      <c r="J99" s="26">
        <f>'Clean Swap Data'!H71-'Clean Swap Data'!H70</f>
        <v>-9.9999999999988987E-4</v>
      </c>
      <c r="K99" s="26">
        <f>'Clean Swap Data'!I71-'Clean Swap Data'!I70</f>
        <v>-3.0000000000001137E-3</v>
      </c>
      <c r="L99" s="26">
        <f>'Clean Swap Data'!J71-'Clean Swap Data'!J70</f>
        <v>-3.0000000000001137E-3</v>
      </c>
      <c r="M99" s="26">
        <f>'Clean Swap Data'!K71-'Clean Swap Data'!K70</f>
        <v>-4.0000000000000036E-3</v>
      </c>
      <c r="O99" s="23">
        <f ca="1"/>
        <v>-5.3930193380583155E-3</v>
      </c>
      <c r="P99" s="23">
        <f ca="1"/>
        <v>1.2799225935863239E-3</v>
      </c>
      <c r="Q99" s="23">
        <f ca="1"/>
        <v>-1.0110446333608761E-2</v>
      </c>
      <c r="S99" s="27">
        <f t="shared" si="22"/>
        <v>-4.0000000000000036E-3</v>
      </c>
      <c r="T99" s="27">
        <f t="shared" si="16"/>
        <v>5.9999999999997833E-3</v>
      </c>
      <c r="U99" s="23">
        <f t="shared" si="17"/>
        <v>-1.2000000000000011E-2</v>
      </c>
    </row>
    <row r="100" spans="3:21" x14ac:dyDescent="0.2">
      <c r="C100" s="17">
        <f>'Clean Swap Data'!A72</f>
        <v>43301</v>
      </c>
      <c r="D100" s="26">
        <f>'Clean Swap Data'!B72-'Clean Swap Data'!B71</f>
        <v>-9.9999999999988987E-4</v>
      </c>
      <c r="E100" s="26">
        <f>'Clean Swap Data'!C72-'Clean Swap Data'!C71</f>
        <v>-8.0000000000000071E-3</v>
      </c>
      <c r="F100" s="26">
        <f>'Clean Swap Data'!D72-'Clean Swap Data'!D71</f>
        <v>-4.0000000000000036E-3</v>
      </c>
      <c r="G100" s="26">
        <f>'Clean Swap Data'!E72-'Clean Swap Data'!E71</f>
        <v>1.000000000000334E-3</v>
      </c>
      <c r="H100" s="26">
        <f>'Clean Swap Data'!F72-'Clean Swap Data'!F71</f>
        <v>4.9999999999998934E-3</v>
      </c>
      <c r="I100" s="26">
        <f>'Clean Swap Data'!G72-'Clean Swap Data'!G71</f>
        <v>1.0000000000000231E-2</v>
      </c>
      <c r="J100" s="26">
        <f>'Clean Swap Data'!H72-'Clean Swap Data'!H71</f>
        <v>1.5000000000000124E-2</v>
      </c>
      <c r="K100" s="26">
        <f>'Clean Swap Data'!I72-'Clean Swap Data'!I71</f>
        <v>2.0000000000000018E-2</v>
      </c>
      <c r="L100" s="26">
        <f>'Clean Swap Data'!J72-'Clean Swap Data'!J71</f>
        <v>2.3000000000000131E-2</v>
      </c>
      <c r="M100" s="26">
        <f>'Clean Swap Data'!K72-'Clean Swap Data'!K71</f>
        <v>2.5999999999999801E-2</v>
      </c>
      <c r="O100" s="23">
        <f ca="1"/>
        <v>3.0501440952564275E-2</v>
      </c>
      <c r="P100" s="23">
        <f ca="1"/>
        <v>3.0352967751417517E-2</v>
      </c>
      <c r="Q100" s="23">
        <f ca="1"/>
        <v>1.3109828525642913E-2</v>
      </c>
      <c r="S100" s="27">
        <f t="shared" si="22"/>
        <v>2.5999999999999801E-2</v>
      </c>
      <c r="T100" s="27">
        <f t="shared" si="16"/>
        <v>2.6999999999999691E-2</v>
      </c>
      <c r="U100" s="23">
        <f t="shared" si="17"/>
        <v>3.2999999999999918E-2</v>
      </c>
    </row>
    <row r="101" spans="3:21" x14ac:dyDescent="0.2">
      <c r="C101" s="17">
        <f>'Clean Swap Data'!A73</f>
        <v>43304</v>
      </c>
      <c r="D101" s="26">
        <f>'Clean Swap Data'!B73-'Clean Swap Data'!B72</f>
        <v>8.999999999999897E-3</v>
      </c>
      <c r="E101" s="26">
        <f>'Clean Swap Data'!C73-'Clean Swap Data'!C72</f>
        <v>1.2000000000000011E-2</v>
      </c>
      <c r="F101" s="26">
        <f>'Clean Swap Data'!D73-'Clean Swap Data'!D72</f>
        <v>2.0999999999999908E-2</v>
      </c>
      <c r="G101" s="26">
        <f>'Clean Swap Data'!E73-'Clean Swap Data'!E72</f>
        <v>2.8000000000000025E-2</v>
      </c>
      <c r="H101" s="26">
        <f>'Clean Swap Data'!F73-'Clean Swap Data'!F72</f>
        <v>3.5000000000000142E-2</v>
      </c>
      <c r="I101" s="26">
        <f>'Clean Swap Data'!G73-'Clean Swap Data'!G72</f>
        <v>3.7999999999999812E-2</v>
      </c>
      <c r="J101" s="26">
        <f>'Clean Swap Data'!H73-'Clean Swap Data'!H72</f>
        <v>4.0999999999999925E-2</v>
      </c>
      <c r="K101" s="26">
        <f>'Clean Swap Data'!I73-'Clean Swap Data'!I72</f>
        <v>4.2000000000000259E-2</v>
      </c>
      <c r="L101" s="26">
        <f>'Clean Swap Data'!J73-'Clean Swap Data'!J72</f>
        <v>4.3000000000000149E-2</v>
      </c>
      <c r="M101" s="26">
        <f>'Clean Swap Data'!K73-'Clean Swap Data'!K72</f>
        <v>4.3000000000000149E-2</v>
      </c>
      <c r="O101" s="23">
        <f ca="1"/>
        <v>0.10298874615644905</v>
      </c>
      <c r="P101" s="23">
        <f ca="1"/>
        <v>2.3290566811073485E-2</v>
      </c>
      <c r="Q101" s="23">
        <f ca="1"/>
        <v>9.4777470013549317E-3</v>
      </c>
      <c r="S101" s="27">
        <f t="shared" si="22"/>
        <v>4.3000000000000149E-2</v>
      </c>
      <c r="T101" s="27">
        <f t="shared" ref="T101:T164" si="23">M101-D101</f>
        <v>3.4000000000000252E-2</v>
      </c>
      <c r="U101" s="23">
        <f t="shared" ref="U101:U164" si="24">M101+D101-2*F101</f>
        <v>1.0000000000000231E-2</v>
      </c>
    </row>
    <row r="102" spans="3:21" x14ac:dyDescent="0.2">
      <c r="C102" s="17">
        <f>'Clean Swap Data'!A74</f>
        <v>43305</v>
      </c>
      <c r="D102" s="26">
        <f>'Clean Swap Data'!B74-'Clean Swap Data'!B73</f>
        <v>-4.0000000000000036E-3</v>
      </c>
      <c r="E102" s="26">
        <f>'Clean Swap Data'!C74-'Clean Swap Data'!C73</f>
        <v>1.6000000000000014E-2</v>
      </c>
      <c r="F102" s="26">
        <f>'Clean Swap Data'!D74-'Clean Swap Data'!D73</f>
        <v>2.2000000000000242E-2</v>
      </c>
      <c r="G102" s="26">
        <f>'Clean Swap Data'!E74-'Clean Swap Data'!E73</f>
        <v>2.2999999999999687E-2</v>
      </c>
      <c r="H102" s="26">
        <f>'Clean Swap Data'!F74-'Clean Swap Data'!F73</f>
        <v>2.2000000000000242E-2</v>
      </c>
      <c r="I102" s="26">
        <f>'Clean Swap Data'!G74-'Clean Swap Data'!G73</f>
        <v>2.2000000000000242E-2</v>
      </c>
      <c r="J102" s="26">
        <f>'Clean Swap Data'!H74-'Clean Swap Data'!H73</f>
        <v>2.0000000000000018E-2</v>
      </c>
      <c r="K102" s="26">
        <f>'Clean Swap Data'!I74-'Clean Swap Data'!I73</f>
        <v>1.9000000000000128E-2</v>
      </c>
      <c r="L102" s="26">
        <f>'Clean Swap Data'!J74-'Clean Swap Data'!J73</f>
        <v>1.7999999999999794E-2</v>
      </c>
      <c r="M102" s="26">
        <f>'Clean Swap Data'!K74-'Clean Swap Data'!K73</f>
        <v>1.7999999999999794E-2</v>
      </c>
      <c r="O102" s="23">
        <f ca="1"/>
        <v>5.9198885556462418E-2</v>
      </c>
      <c r="P102" s="23">
        <f ca="1"/>
        <v>2.010445910837844E-3</v>
      </c>
      <c r="Q102" s="23">
        <f ca="1"/>
        <v>-1.2184631056972255E-2</v>
      </c>
      <c r="S102" s="27">
        <f t="shared" si="22"/>
        <v>1.7999999999999794E-2</v>
      </c>
      <c r="T102" s="27">
        <f t="shared" si="23"/>
        <v>2.1999999999999797E-2</v>
      </c>
      <c r="U102" s="23">
        <f t="shared" si="24"/>
        <v>-3.0000000000000693E-2</v>
      </c>
    </row>
    <row r="103" spans="3:21" x14ac:dyDescent="0.2">
      <c r="C103" s="17">
        <f>'Clean Swap Data'!A75</f>
        <v>43306</v>
      </c>
      <c r="D103" s="26">
        <f>'Clean Swap Data'!B75-'Clean Swap Data'!B74</f>
        <v>9.9999999999988987E-4</v>
      </c>
      <c r="E103" s="26">
        <f>'Clean Swap Data'!C75-'Clean Swap Data'!C74</f>
        <v>-7.0000000000001172E-3</v>
      </c>
      <c r="F103" s="26">
        <f>'Clean Swap Data'!D75-'Clean Swap Data'!D74</f>
        <v>-1.0000000000000231E-2</v>
      </c>
      <c r="G103" s="26">
        <f>'Clean Swap Data'!E75-'Clean Swap Data'!E74</f>
        <v>-1.2000000000000011E-2</v>
      </c>
      <c r="H103" s="26">
        <f>'Clean Swap Data'!F75-'Clean Swap Data'!F74</f>
        <v>-1.4000000000000234E-2</v>
      </c>
      <c r="I103" s="26">
        <f>'Clean Swap Data'!G75-'Clean Swap Data'!G74</f>
        <v>-1.6999999999999904E-2</v>
      </c>
      <c r="J103" s="26">
        <f>'Clean Swap Data'!H75-'Clean Swap Data'!H74</f>
        <v>-1.9000000000000128E-2</v>
      </c>
      <c r="K103" s="26">
        <f>'Clean Swap Data'!I75-'Clean Swap Data'!I74</f>
        <v>-2.1000000000000352E-2</v>
      </c>
      <c r="L103" s="26">
        <f>'Clean Swap Data'!J75-'Clean Swap Data'!J74</f>
        <v>-2.0999999999999908E-2</v>
      </c>
      <c r="M103" s="26">
        <f>'Clean Swap Data'!K75-'Clean Swap Data'!K74</f>
        <v>-2.2999999999999687E-2</v>
      </c>
      <c r="O103" s="23">
        <f ca="1"/>
        <v>-4.8201021155173607E-2</v>
      </c>
      <c r="P103" s="23">
        <f ca="1"/>
        <v>-1.4808921484858035E-2</v>
      </c>
      <c r="Q103" s="23">
        <f ca="1"/>
        <v>-1.2105133614969316E-3</v>
      </c>
      <c r="S103" s="27">
        <f t="shared" si="22"/>
        <v>-2.2999999999999687E-2</v>
      </c>
      <c r="T103" s="27">
        <f t="shared" si="23"/>
        <v>-2.3999999999999577E-2</v>
      </c>
      <c r="U103" s="23">
        <f t="shared" si="24"/>
        <v>-1.9999999999993356E-3</v>
      </c>
    </row>
    <row r="104" spans="3:21" x14ac:dyDescent="0.2">
      <c r="C104" s="17">
        <f>'Clean Swap Data'!A76</f>
        <v>43307</v>
      </c>
      <c r="D104" s="26">
        <f>'Clean Swap Data'!B76-'Clean Swap Data'!B75</f>
        <v>1.5000000000000124E-2</v>
      </c>
      <c r="E104" s="26">
        <f>'Clean Swap Data'!C76-'Clean Swap Data'!C75</f>
        <v>1.6000000000000014E-2</v>
      </c>
      <c r="F104" s="26">
        <f>'Clean Swap Data'!D76-'Clean Swap Data'!D75</f>
        <v>1.9000000000000128E-2</v>
      </c>
      <c r="G104" s="26">
        <f>'Clean Swap Data'!E76-'Clean Swap Data'!E75</f>
        <v>1.8000000000000238E-2</v>
      </c>
      <c r="H104" s="26">
        <f>'Clean Swap Data'!F76-'Clean Swap Data'!F75</f>
        <v>1.8000000000000238E-2</v>
      </c>
      <c r="I104" s="26">
        <f>'Clean Swap Data'!G76-'Clean Swap Data'!G75</f>
        <v>1.7999999999999794E-2</v>
      </c>
      <c r="J104" s="26">
        <f>'Clean Swap Data'!H76-'Clean Swap Data'!H75</f>
        <v>1.9000000000000128E-2</v>
      </c>
      <c r="K104" s="26">
        <f>'Clean Swap Data'!I76-'Clean Swap Data'!I75</f>
        <v>1.9000000000000128E-2</v>
      </c>
      <c r="L104" s="26">
        <f>'Clean Swap Data'!J76-'Clean Swap Data'!J75</f>
        <v>1.9000000000000128E-2</v>
      </c>
      <c r="M104" s="26">
        <f>'Clean Swap Data'!K76-'Clean Swap Data'!K75</f>
        <v>2.0999999999999908E-2</v>
      </c>
      <c r="O104" s="23">
        <f ca="1"/>
        <v>5.7090368767934704E-2</v>
      </c>
      <c r="P104" s="23">
        <f ca="1"/>
        <v>-4.2101679461198274E-3</v>
      </c>
      <c r="Q104" s="23">
        <f ca="1"/>
        <v>7.3350235478997893E-3</v>
      </c>
      <c r="S104" s="27">
        <f t="shared" si="22"/>
        <v>2.0999999999999908E-2</v>
      </c>
      <c r="T104" s="27">
        <f t="shared" si="23"/>
        <v>5.9999999999997833E-3</v>
      </c>
      <c r="U104" s="23">
        <f t="shared" si="24"/>
        <v>-2.0000000000002238E-3</v>
      </c>
    </row>
    <row r="105" spans="3:21" x14ac:dyDescent="0.2">
      <c r="C105" s="17">
        <f>'Clean Swap Data'!A77</f>
        <v>43308</v>
      </c>
      <c r="D105" s="26">
        <f>'Clean Swap Data'!B77-'Clean Swap Data'!B76</f>
        <v>5.9999999999997833E-3</v>
      </c>
      <c r="E105" s="26">
        <f>'Clean Swap Data'!C77-'Clean Swap Data'!C76</f>
        <v>1.5000000000000124E-2</v>
      </c>
      <c r="F105" s="26">
        <f>'Clean Swap Data'!D77-'Clean Swap Data'!D76</f>
        <v>7.0000000000001172E-3</v>
      </c>
      <c r="G105" s="26">
        <f>'Clean Swap Data'!E77-'Clean Swap Data'!E76</f>
        <v>5.9999999999997833E-3</v>
      </c>
      <c r="H105" s="26">
        <f>'Clean Swap Data'!F77-'Clean Swap Data'!F76</f>
        <v>4.0000000000000036E-3</v>
      </c>
      <c r="I105" s="26">
        <f>'Clean Swap Data'!G77-'Clean Swap Data'!G76</f>
        <v>6.0000000000002274E-3</v>
      </c>
      <c r="J105" s="26">
        <f>'Clean Swap Data'!H77-'Clean Swap Data'!H76</f>
        <v>7.0000000000001172E-3</v>
      </c>
      <c r="K105" s="26">
        <f>'Clean Swap Data'!I77-'Clean Swap Data'!I76</f>
        <v>1.0000000000000231E-2</v>
      </c>
      <c r="L105" s="26">
        <f>'Clean Swap Data'!J77-'Clean Swap Data'!J76</f>
        <v>8.999999999999897E-3</v>
      </c>
      <c r="M105" s="26">
        <f>'Clean Swap Data'!K77-'Clean Swap Data'!K76</f>
        <v>9.9999999999997868E-3</v>
      </c>
      <c r="O105" s="23">
        <f ca="1"/>
        <v>2.4659214526072393E-2</v>
      </c>
      <c r="P105" s="23">
        <f ca="1"/>
        <v>-3.6647912197942173E-3</v>
      </c>
      <c r="Q105" s="23">
        <f ca="1"/>
        <v>2.766759287766013E-3</v>
      </c>
      <c r="S105" s="27">
        <f t="shared" si="22"/>
        <v>9.9999999999997868E-3</v>
      </c>
      <c r="T105" s="27">
        <f t="shared" si="23"/>
        <v>4.0000000000000036E-3</v>
      </c>
      <c r="U105" s="23">
        <f t="shared" si="24"/>
        <v>1.9999999999993356E-3</v>
      </c>
    </row>
    <row r="106" spans="3:21" x14ac:dyDescent="0.2">
      <c r="C106" s="17">
        <f>'Clean Swap Data'!A78</f>
        <v>43311</v>
      </c>
      <c r="D106" s="26">
        <f>'Clean Swap Data'!B78-'Clean Swap Data'!B77</f>
        <v>1.000000000000334E-3</v>
      </c>
      <c r="E106" s="26">
        <f>'Clean Swap Data'!C78-'Clean Swap Data'!C77</f>
        <v>5.9999999999997833E-3</v>
      </c>
      <c r="F106" s="26">
        <f>'Clean Swap Data'!D78-'Clean Swap Data'!D77</f>
        <v>1.2000000000000011E-2</v>
      </c>
      <c r="G106" s="26">
        <f>'Clean Swap Data'!E78-'Clean Swap Data'!E77</f>
        <v>1.3000000000000345E-2</v>
      </c>
      <c r="H106" s="26">
        <f>'Clean Swap Data'!F78-'Clean Swap Data'!F77</f>
        <v>1.499999999999968E-2</v>
      </c>
      <c r="I106" s="26">
        <f>'Clean Swap Data'!G78-'Clean Swap Data'!G77</f>
        <v>1.6000000000000014E-2</v>
      </c>
      <c r="J106" s="26">
        <f>'Clean Swap Data'!H78-'Clean Swap Data'!H77</f>
        <v>1.7999999999999794E-2</v>
      </c>
      <c r="K106" s="26">
        <f>'Clean Swap Data'!I78-'Clean Swap Data'!I77</f>
        <v>1.7999999999999794E-2</v>
      </c>
      <c r="L106" s="26">
        <f>'Clean Swap Data'!J78-'Clean Swap Data'!J77</f>
        <v>2.0000000000000018E-2</v>
      </c>
      <c r="M106" s="26">
        <f>'Clean Swap Data'!K78-'Clean Swap Data'!K77</f>
        <v>1.9000000000000128E-2</v>
      </c>
      <c r="O106" s="23">
        <f ca="1"/>
        <v>4.6091159439477766E-2</v>
      </c>
      <c r="P106" s="23">
        <f ca="1"/>
        <v>1.0482196210027547E-2</v>
      </c>
      <c r="Q106" s="23">
        <f ca="1"/>
        <v>8.4934905759649886E-4</v>
      </c>
      <c r="S106" s="27">
        <f t="shared" si="22"/>
        <v>1.9000000000000128E-2</v>
      </c>
      <c r="T106" s="27">
        <f t="shared" si="23"/>
        <v>1.7999999999999794E-2</v>
      </c>
      <c r="U106" s="23">
        <f t="shared" si="24"/>
        <v>-3.9999999999995595E-3</v>
      </c>
    </row>
    <row r="107" spans="3:21" x14ac:dyDescent="0.2">
      <c r="C107" s="17">
        <f>'Clean Swap Data'!A79</f>
        <v>43312</v>
      </c>
      <c r="D107" s="26">
        <f>'Clean Swap Data'!B79-'Clean Swap Data'!B78</f>
        <v>6.9999999999996732E-3</v>
      </c>
      <c r="E107" s="26">
        <f>'Clean Swap Data'!C79-'Clean Swap Data'!C78</f>
        <v>-4.0000000000000036E-3</v>
      </c>
      <c r="F107" s="26">
        <f>'Clean Swap Data'!D79-'Clean Swap Data'!D78</f>
        <v>-7.0000000000001172E-3</v>
      </c>
      <c r="G107" s="26">
        <f>'Clean Swap Data'!E79-'Clean Swap Data'!E78</f>
        <v>-8.0000000000000071E-3</v>
      </c>
      <c r="H107" s="26">
        <f>'Clean Swap Data'!F79-'Clean Swap Data'!F78</f>
        <v>-8.0000000000000071E-3</v>
      </c>
      <c r="I107" s="26">
        <f>'Clean Swap Data'!G79-'Clean Swap Data'!G78</f>
        <v>-8.0000000000000071E-3</v>
      </c>
      <c r="J107" s="26">
        <f>'Clean Swap Data'!H79-'Clean Swap Data'!H78</f>
        <v>-8.999999999999897E-3</v>
      </c>
      <c r="K107" s="26">
        <f>'Clean Swap Data'!I79-'Clean Swap Data'!I78</f>
        <v>-1.0000000000000231E-2</v>
      </c>
      <c r="L107" s="26">
        <f>'Clean Swap Data'!J79-'Clean Swap Data'!J78</f>
        <v>-1.0000000000000231E-2</v>
      </c>
      <c r="M107" s="26">
        <f>'Clean Swap Data'!K79-'Clean Swap Data'!K78</f>
        <v>-8.999999999999897E-3</v>
      </c>
      <c r="O107" s="23">
        <f ca="1"/>
        <v>-2.3583918824150202E-2</v>
      </c>
      <c r="P107" s="23">
        <f ca="1"/>
        <v>-7.9160357934664263E-3</v>
      </c>
      <c r="Q107" s="23">
        <f ca="1"/>
        <v>6.8142817640902565E-3</v>
      </c>
      <c r="S107" s="27">
        <f t="shared" si="22"/>
        <v>-8.999999999999897E-3</v>
      </c>
      <c r="T107" s="27">
        <f t="shared" si="23"/>
        <v>-1.599999999999957E-2</v>
      </c>
      <c r="U107" s="23">
        <f t="shared" si="24"/>
        <v>1.2000000000000011E-2</v>
      </c>
    </row>
    <row r="108" spans="3:21" x14ac:dyDescent="0.2">
      <c r="C108" s="17">
        <f>'Clean Swap Data'!A80</f>
        <v>43313</v>
      </c>
      <c r="D108" s="26">
        <f>'Clean Swap Data'!B80-'Clean Swap Data'!B79</f>
        <v>9.0000000000003411E-3</v>
      </c>
      <c r="E108" s="26">
        <f>'Clean Swap Data'!C80-'Clean Swap Data'!C79</f>
        <v>1.7000000000000348E-2</v>
      </c>
      <c r="F108" s="26">
        <f>'Clean Swap Data'!D80-'Clean Swap Data'!D79</f>
        <v>2.4000000000000021E-2</v>
      </c>
      <c r="G108" s="26">
        <f>'Clean Swap Data'!E80-'Clean Swap Data'!E79</f>
        <v>2.9999999999999805E-2</v>
      </c>
      <c r="H108" s="26">
        <f>'Clean Swap Data'!F80-'Clean Swap Data'!F79</f>
        <v>3.4000000000000252E-2</v>
      </c>
      <c r="I108" s="26">
        <f>'Clean Swap Data'!G80-'Clean Swap Data'!G79</f>
        <v>3.6999999999999922E-2</v>
      </c>
      <c r="J108" s="26">
        <f>'Clean Swap Data'!H80-'Clean Swap Data'!H79</f>
        <v>3.7999999999999812E-2</v>
      </c>
      <c r="K108" s="26">
        <f>'Clean Swap Data'!I80-'Clean Swap Data'!I79</f>
        <v>4.0000000000000036E-2</v>
      </c>
      <c r="L108" s="26">
        <f>'Clean Swap Data'!J80-'Clean Swap Data'!J79</f>
        <v>4.1000000000000369E-2</v>
      </c>
      <c r="M108" s="26">
        <f>'Clean Swap Data'!K80-'Clean Swap Data'!K79</f>
        <v>4.0000000000000036E-2</v>
      </c>
      <c r="O108" s="23">
        <f ca="1"/>
        <v>0.10186481852019631</v>
      </c>
      <c r="P108" s="23">
        <f ca="1"/>
        <v>1.6632792155222047E-2</v>
      </c>
      <c r="Q108" s="23">
        <f ca="1"/>
        <v>5.9286135756213224E-3</v>
      </c>
      <c r="S108" s="27">
        <f t="shared" si="22"/>
        <v>4.0000000000000036E-2</v>
      </c>
      <c r="T108" s="27">
        <f t="shared" si="23"/>
        <v>3.0999999999999694E-2</v>
      </c>
      <c r="U108" s="23">
        <f t="shared" si="24"/>
        <v>1.000000000000334E-3</v>
      </c>
    </row>
    <row r="109" spans="3:21" x14ac:dyDescent="0.2">
      <c r="C109" s="17">
        <f>'Clean Swap Data'!A81</f>
        <v>43314</v>
      </c>
      <c r="D109" s="26">
        <f>'Clean Swap Data'!B81-'Clean Swap Data'!B80</f>
        <v>-1.0000000000000231E-2</v>
      </c>
      <c r="E109" s="26">
        <f>'Clean Swap Data'!C81-'Clean Swap Data'!C80</f>
        <v>-1.3000000000000345E-2</v>
      </c>
      <c r="F109" s="26">
        <f>'Clean Swap Data'!D81-'Clean Swap Data'!D80</f>
        <v>-1.2999999999999901E-2</v>
      </c>
      <c r="G109" s="26">
        <f>'Clean Swap Data'!E81-'Clean Swap Data'!E80</f>
        <v>-1.5000000000000124E-2</v>
      </c>
      <c r="H109" s="26">
        <f>'Clean Swap Data'!F81-'Clean Swap Data'!F80</f>
        <v>-1.6000000000000014E-2</v>
      </c>
      <c r="I109" s="26">
        <f>'Clean Swap Data'!G81-'Clean Swap Data'!G80</f>
        <v>-1.5000000000000124E-2</v>
      </c>
      <c r="J109" s="26">
        <f>'Clean Swap Data'!H81-'Clean Swap Data'!H80</f>
        <v>-1.399999999999979E-2</v>
      </c>
      <c r="K109" s="26">
        <f>'Clean Swap Data'!I81-'Clean Swap Data'!I80</f>
        <v>-1.2999999999999901E-2</v>
      </c>
      <c r="L109" s="26">
        <f>'Clean Swap Data'!J81-'Clean Swap Data'!J80</f>
        <v>-1.3000000000000345E-2</v>
      </c>
      <c r="M109" s="26">
        <f>'Clean Swap Data'!K81-'Clean Swap Data'!K80</f>
        <v>-1.1000000000000121E-2</v>
      </c>
      <c r="O109" s="23">
        <f ca="1"/>
        <v>-4.1882395661662769E-2</v>
      </c>
      <c r="P109" s="23">
        <f ca="1"/>
        <v>5.4524768995743347E-3</v>
      </c>
      <c r="Q109" s="23">
        <f ca="1"/>
        <v>-2.3984936302157843E-3</v>
      </c>
      <c r="S109" s="27">
        <f t="shared" si="22"/>
        <v>-1.1000000000000121E-2</v>
      </c>
      <c r="T109" s="27">
        <f t="shared" si="23"/>
        <v>-9.9999999999988987E-4</v>
      </c>
      <c r="U109" s="23">
        <f t="shared" si="24"/>
        <v>4.9999999999994493E-3</v>
      </c>
    </row>
    <row r="110" spans="3:21" x14ac:dyDescent="0.2">
      <c r="C110" s="17">
        <f>'Clean Swap Data'!A82</f>
        <v>43315</v>
      </c>
      <c r="D110" s="26">
        <f>'Clean Swap Data'!B82-'Clean Swap Data'!B81</f>
        <v>-5.9999999999997833E-3</v>
      </c>
      <c r="E110" s="26">
        <f>'Clean Swap Data'!C82-'Clean Swap Data'!C81</f>
        <v>-1.6999999999999904E-2</v>
      </c>
      <c r="F110" s="26">
        <f>'Clean Swap Data'!D82-'Clean Swap Data'!D81</f>
        <v>-2.6000000000000245E-2</v>
      </c>
      <c r="G110" s="26">
        <f>'Clean Swap Data'!E82-'Clean Swap Data'!E81</f>
        <v>-2.8000000000000025E-2</v>
      </c>
      <c r="H110" s="26">
        <f>'Clean Swap Data'!F82-'Clean Swap Data'!F81</f>
        <v>-3.0000000000000249E-2</v>
      </c>
      <c r="I110" s="26">
        <f>'Clean Swap Data'!G82-'Clean Swap Data'!G81</f>
        <v>-3.2000000000000028E-2</v>
      </c>
      <c r="J110" s="26">
        <f>'Clean Swap Data'!H82-'Clean Swap Data'!H81</f>
        <v>-3.2000000000000028E-2</v>
      </c>
      <c r="K110" s="26">
        <f>'Clean Swap Data'!I82-'Clean Swap Data'!I81</f>
        <v>-3.2000000000000028E-2</v>
      </c>
      <c r="L110" s="26">
        <f>'Clean Swap Data'!J82-'Clean Swap Data'!J81</f>
        <v>-3.2000000000000028E-2</v>
      </c>
      <c r="M110" s="26">
        <f>'Clean Swap Data'!K82-'Clean Swap Data'!K81</f>
        <v>-3.2000000000000028E-2</v>
      </c>
      <c r="O110" s="23">
        <f ca="1"/>
        <v>-8.7834067922869768E-2</v>
      </c>
      <c r="P110" s="23">
        <f ca="1"/>
        <v>-8.9628600935481532E-3</v>
      </c>
      <c r="Q110" s="23">
        <f ca="1"/>
        <v>3.3203123049600596E-4</v>
      </c>
      <c r="S110" s="27">
        <f t="shared" si="22"/>
        <v>-3.2000000000000028E-2</v>
      </c>
      <c r="T110" s="27">
        <f t="shared" si="23"/>
        <v>-2.6000000000000245E-2</v>
      </c>
      <c r="U110" s="23">
        <f t="shared" si="24"/>
        <v>1.4000000000000679E-2</v>
      </c>
    </row>
    <row r="111" spans="3:21" x14ac:dyDescent="0.2">
      <c r="C111" s="17">
        <f>'Clean Swap Data'!A83</f>
        <v>43318</v>
      </c>
      <c r="D111" s="26">
        <f>'Clean Swap Data'!B83-'Clean Swap Data'!B82</f>
        <v>0</v>
      </c>
      <c r="E111" s="26">
        <f>'Clean Swap Data'!C83-'Clean Swap Data'!C82</f>
        <v>-8.0000000000000071E-3</v>
      </c>
      <c r="F111" s="26">
        <f>'Clean Swap Data'!D83-'Clean Swap Data'!D82</f>
        <v>-1.2999999999999901E-2</v>
      </c>
      <c r="G111" s="26">
        <f>'Clean Swap Data'!E83-'Clean Swap Data'!E82</f>
        <v>-1.6000000000000014E-2</v>
      </c>
      <c r="H111" s="26">
        <f>'Clean Swap Data'!F83-'Clean Swap Data'!F82</f>
        <v>-1.7999999999999794E-2</v>
      </c>
      <c r="I111" s="26">
        <f>'Clean Swap Data'!G83-'Clean Swap Data'!G82</f>
        <v>-2.0000000000000018E-2</v>
      </c>
      <c r="J111" s="26">
        <f>'Clean Swap Data'!H83-'Clean Swap Data'!H82</f>
        <v>-2.0999999999999908E-2</v>
      </c>
      <c r="K111" s="26">
        <f>'Clean Swap Data'!I83-'Clean Swap Data'!I82</f>
        <v>-2.2999999999999687E-2</v>
      </c>
      <c r="L111" s="26">
        <f>'Clean Swap Data'!J83-'Clean Swap Data'!J82</f>
        <v>-2.2999999999999687E-2</v>
      </c>
      <c r="M111" s="26">
        <f>'Clean Swap Data'!K83-'Clean Swap Data'!K82</f>
        <v>-2.4999999999999911E-2</v>
      </c>
      <c r="O111" s="23">
        <f ca="1"/>
        <v>-5.6016699757294779E-2</v>
      </c>
      <c r="P111" s="23">
        <f ca="1"/>
        <v>-1.4039449066329698E-2</v>
      </c>
      <c r="Q111" s="23">
        <f ca="1"/>
        <v>-5.087762177978265E-4</v>
      </c>
      <c r="S111" s="27">
        <f t="shared" si="22"/>
        <v>-2.4999999999999911E-2</v>
      </c>
      <c r="T111" s="27">
        <f t="shared" si="23"/>
        <v>-2.4999999999999911E-2</v>
      </c>
      <c r="U111" s="23">
        <f t="shared" si="24"/>
        <v>9.9999999999988987E-4</v>
      </c>
    </row>
    <row r="112" spans="3:21" x14ac:dyDescent="0.2">
      <c r="C112" s="17">
        <f>'Clean Swap Data'!A84</f>
        <v>43319</v>
      </c>
      <c r="D112" s="26">
        <f>'Clean Swap Data'!B84-'Clean Swap Data'!B83</f>
        <v>2.9999999999996696E-3</v>
      </c>
      <c r="E112" s="26">
        <f>'Clean Swap Data'!C84-'Clean Swap Data'!C83</f>
        <v>1.5000000000000124E-2</v>
      </c>
      <c r="F112" s="26">
        <f>'Clean Swap Data'!D84-'Clean Swap Data'!D83</f>
        <v>2.2000000000000242E-2</v>
      </c>
      <c r="G112" s="26">
        <f>'Clean Swap Data'!E84-'Clean Swap Data'!E83</f>
        <v>2.3000000000000131E-2</v>
      </c>
      <c r="H112" s="26">
        <f>'Clean Swap Data'!F84-'Clean Swap Data'!F83</f>
        <v>2.3000000000000131E-2</v>
      </c>
      <c r="I112" s="26">
        <f>'Clean Swap Data'!G84-'Clean Swap Data'!G83</f>
        <v>2.4000000000000021E-2</v>
      </c>
      <c r="J112" s="26">
        <f>'Clean Swap Data'!H84-'Clean Swap Data'!H83</f>
        <v>2.4000000000000021E-2</v>
      </c>
      <c r="K112" s="26">
        <f>'Clean Swap Data'!I84-'Clean Swap Data'!I83</f>
        <v>2.3999999999999577E-2</v>
      </c>
      <c r="L112" s="26">
        <f>'Clean Swap Data'!J84-'Clean Swap Data'!J83</f>
        <v>2.2999999999999687E-2</v>
      </c>
      <c r="M112" s="26">
        <f>'Clean Swap Data'!K84-'Clean Swap Data'!K83</f>
        <v>2.2999999999999687E-2</v>
      </c>
      <c r="O112" s="23">
        <f ca="1"/>
        <v>6.7263248370298276E-2</v>
      </c>
      <c r="P112" s="23">
        <f ca="1"/>
        <v>4.3529584542446997E-3</v>
      </c>
      <c r="Q112" s="23">
        <f ca="1"/>
        <v>-3.6038049390880022E-3</v>
      </c>
      <c r="S112" s="27">
        <f t="shared" si="22"/>
        <v>2.2999999999999687E-2</v>
      </c>
      <c r="T112" s="27">
        <f t="shared" si="23"/>
        <v>2.0000000000000018E-2</v>
      </c>
      <c r="U112" s="23">
        <f t="shared" si="24"/>
        <v>-1.8000000000001126E-2</v>
      </c>
    </row>
    <row r="113" spans="3:21" x14ac:dyDescent="0.2">
      <c r="C113" s="17">
        <f>'Clean Swap Data'!A85</f>
        <v>43320</v>
      </c>
      <c r="D113" s="26">
        <f>'Clean Swap Data'!B85-'Clean Swap Data'!B84</f>
        <v>-2.9999999999996696E-3</v>
      </c>
      <c r="E113" s="26">
        <f>'Clean Swap Data'!C85-'Clean Swap Data'!C84</f>
        <v>-5.9999999999997833E-3</v>
      </c>
      <c r="F113" s="26">
        <f>'Clean Swap Data'!D85-'Clean Swap Data'!D84</f>
        <v>-6.0000000000002274E-3</v>
      </c>
      <c r="G113" s="26">
        <f>'Clean Swap Data'!E85-'Clean Swap Data'!E84</f>
        <v>-5.9999999999997833E-3</v>
      </c>
      <c r="H113" s="26">
        <f>'Clean Swap Data'!F85-'Clean Swap Data'!F84</f>
        <v>-5.0000000000003375E-3</v>
      </c>
      <c r="I113" s="26">
        <f>'Clean Swap Data'!G85-'Clean Swap Data'!G84</f>
        <v>-4.9999999999998934E-3</v>
      </c>
      <c r="J113" s="26">
        <f>'Clean Swap Data'!H85-'Clean Swap Data'!H84</f>
        <v>-4.9999999999998934E-3</v>
      </c>
      <c r="K113" s="26">
        <f>'Clean Swap Data'!I85-'Clean Swap Data'!I84</f>
        <v>-3.9999999999995595E-3</v>
      </c>
      <c r="L113" s="26">
        <f>'Clean Swap Data'!J85-'Clean Swap Data'!J84</f>
        <v>-2.9999999999996696E-3</v>
      </c>
      <c r="M113" s="26">
        <f>'Clean Swap Data'!K85-'Clean Swap Data'!K84</f>
        <v>-1.9999999999997797E-3</v>
      </c>
      <c r="O113" s="23">
        <f ca="1"/>
        <v>-1.4108058795965099E-2</v>
      </c>
      <c r="P113" s="23">
        <f ca="1"/>
        <v>4.3185409157919684E-3</v>
      </c>
      <c r="Q113" s="23">
        <f ca="1"/>
        <v>1.0958388107219876E-3</v>
      </c>
      <c r="S113" s="27">
        <f t="shared" si="22"/>
        <v>-1.9999999999997797E-3</v>
      </c>
      <c r="T113" s="27">
        <f t="shared" si="23"/>
        <v>9.9999999999988987E-4</v>
      </c>
      <c r="U113" s="23">
        <f t="shared" si="24"/>
        <v>7.0000000000010054E-3</v>
      </c>
    </row>
    <row r="114" spans="3:21" x14ac:dyDescent="0.2">
      <c r="C114" s="17">
        <f>'Clean Swap Data'!A86</f>
        <v>43321</v>
      </c>
      <c r="D114" s="26">
        <f>'Clean Swap Data'!B86-'Clean Swap Data'!B85</f>
        <v>-1.7000000000000348E-2</v>
      </c>
      <c r="E114" s="26">
        <f>'Clean Swap Data'!C86-'Clean Swap Data'!C85</f>
        <v>-1.9000000000000128E-2</v>
      </c>
      <c r="F114" s="26">
        <f>'Clean Swap Data'!D86-'Clean Swap Data'!D85</f>
        <v>-2.1999999999999797E-2</v>
      </c>
      <c r="G114" s="26">
        <f>'Clean Swap Data'!E86-'Clean Swap Data'!E85</f>
        <v>-2.5000000000000355E-2</v>
      </c>
      <c r="H114" s="26">
        <f>'Clean Swap Data'!F86-'Clean Swap Data'!F85</f>
        <v>-2.8999999999999915E-2</v>
      </c>
      <c r="I114" s="26">
        <f>'Clean Swap Data'!G86-'Clean Swap Data'!G85</f>
        <v>-3.0000000000000249E-2</v>
      </c>
      <c r="J114" s="26">
        <f>'Clean Swap Data'!H86-'Clean Swap Data'!H85</f>
        <v>-3.1000000000000139E-2</v>
      </c>
      <c r="K114" s="26">
        <f>'Clean Swap Data'!I86-'Clean Swap Data'!I85</f>
        <v>-3.1000000000000139E-2</v>
      </c>
      <c r="L114" s="26">
        <f>'Clean Swap Data'!J86-'Clean Swap Data'!J85</f>
        <v>-3.1000000000000139E-2</v>
      </c>
      <c r="M114" s="26">
        <f>'Clean Swap Data'!K86-'Clean Swap Data'!K85</f>
        <v>-3.2000000000000028E-2</v>
      </c>
      <c r="O114" s="23">
        <f ca="1"/>
        <v>-8.53465430475005E-2</v>
      </c>
      <c r="P114" s="23">
        <f ca="1"/>
        <v>-3.7278653239186683E-3</v>
      </c>
      <c r="Q114" s="23">
        <f ca="1"/>
        <v>-1.0179497769938418E-2</v>
      </c>
      <c r="S114" s="27">
        <f t="shared" si="22"/>
        <v>-3.2000000000000028E-2</v>
      </c>
      <c r="T114" s="27">
        <f t="shared" si="23"/>
        <v>-1.499999999999968E-2</v>
      </c>
      <c r="U114" s="23">
        <f t="shared" si="24"/>
        <v>-5.0000000000007816E-3</v>
      </c>
    </row>
    <row r="115" spans="3:21" x14ac:dyDescent="0.2">
      <c r="C115" s="17">
        <f>'Clean Swap Data'!A87</f>
        <v>43325</v>
      </c>
      <c r="D115" s="26">
        <f>'Clean Swap Data'!B87-'Clean Swap Data'!B86</f>
        <v>-3.6999999999999922E-2</v>
      </c>
      <c r="E115" s="26">
        <f>'Clean Swap Data'!C87-'Clean Swap Data'!C86</f>
        <v>-4.2000000000000259E-2</v>
      </c>
      <c r="F115" s="26">
        <f>'Clean Swap Data'!D87-'Clean Swap Data'!D86</f>
        <v>-5.0000000000000266E-2</v>
      </c>
      <c r="G115" s="26">
        <f>'Clean Swap Data'!E87-'Clean Swap Data'!E86</f>
        <v>-5.3999999999999826E-2</v>
      </c>
      <c r="H115" s="26">
        <f>'Clean Swap Data'!F87-'Clean Swap Data'!F86</f>
        <v>-5.2999999999999936E-2</v>
      </c>
      <c r="I115" s="26">
        <f>'Clean Swap Data'!G87-'Clean Swap Data'!G86</f>
        <v>-5.4999999999999716E-2</v>
      </c>
      <c r="J115" s="26">
        <f>'Clean Swap Data'!H87-'Clean Swap Data'!H86</f>
        <v>-5.500000000000016E-2</v>
      </c>
      <c r="K115" s="26">
        <f>'Clean Swap Data'!I87-'Clean Swap Data'!I86</f>
        <v>-5.500000000000016E-2</v>
      </c>
      <c r="L115" s="26">
        <f>'Clean Swap Data'!J87-'Clean Swap Data'!J86</f>
        <v>-5.600000000000005E-2</v>
      </c>
      <c r="M115" s="26">
        <f>'Clean Swap Data'!K87-'Clean Swap Data'!K86</f>
        <v>-5.3999999999999826E-2</v>
      </c>
      <c r="O115" s="23">
        <f ca="1"/>
        <v>-0.16174547687369473</v>
      </c>
      <c r="P115" s="23">
        <f ca="1"/>
        <v>7.5690611433699984E-3</v>
      </c>
      <c r="Q115" s="23">
        <f ca="1"/>
        <v>-1.6108563370770393E-2</v>
      </c>
      <c r="S115" s="27">
        <f t="shared" si="22"/>
        <v>-5.3999999999999826E-2</v>
      </c>
      <c r="T115" s="27">
        <f t="shared" si="23"/>
        <v>-1.6999999999999904E-2</v>
      </c>
      <c r="U115" s="23">
        <f t="shared" si="24"/>
        <v>9.0000000000007851E-3</v>
      </c>
    </row>
    <row r="116" spans="3:21" x14ac:dyDescent="0.2">
      <c r="C116" s="17">
        <f>'Clean Swap Data'!A88</f>
        <v>43326</v>
      </c>
      <c r="D116" s="26">
        <f>'Clean Swap Data'!B88-'Clean Swap Data'!B87</f>
        <v>2.2000000000000242E-2</v>
      </c>
      <c r="E116" s="26">
        <f>'Clean Swap Data'!C88-'Clean Swap Data'!C87</f>
        <v>1.3000000000000345E-2</v>
      </c>
      <c r="F116" s="26">
        <f>'Clean Swap Data'!D88-'Clean Swap Data'!D87</f>
        <v>1.4000000000000234E-2</v>
      </c>
      <c r="G116" s="26">
        <f>'Clean Swap Data'!E88-'Clean Swap Data'!E87</f>
        <v>1.6000000000000014E-2</v>
      </c>
      <c r="H116" s="26">
        <f>'Clean Swap Data'!F88-'Clean Swap Data'!F87</f>
        <v>1.6000000000000014E-2</v>
      </c>
      <c r="I116" s="26">
        <f>'Clean Swap Data'!G88-'Clean Swap Data'!G87</f>
        <v>1.6999999999999904E-2</v>
      </c>
      <c r="J116" s="26">
        <f>'Clean Swap Data'!H88-'Clean Swap Data'!H87</f>
        <v>1.8000000000000238E-2</v>
      </c>
      <c r="K116" s="26">
        <f>'Clean Swap Data'!I88-'Clean Swap Data'!I87</f>
        <v>1.6999999999999904E-2</v>
      </c>
      <c r="L116" s="26">
        <f>'Clean Swap Data'!J88-'Clean Swap Data'!J87</f>
        <v>1.9000000000000128E-2</v>
      </c>
      <c r="M116" s="26">
        <f>'Clean Swap Data'!K88-'Clean Swap Data'!K87</f>
        <v>1.7999999999999794E-2</v>
      </c>
      <c r="O116" s="23">
        <f ca="1"/>
        <v>5.1795214907102649E-2</v>
      </c>
      <c r="P116" s="23">
        <f ca="1"/>
        <v>-5.8180317380394399E-3</v>
      </c>
      <c r="Q116" s="23">
        <f ca="1"/>
        <v>1.5122502543526782E-2</v>
      </c>
      <c r="S116" s="27">
        <f t="shared" si="22"/>
        <v>1.7999999999999794E-2</v>
      </c>
      <c r="T116" s="27">
        <f t="shared" si="23"/>
        <v>-4.0000000000004476E-3</v>
      </c>
      <c r="U116" s="23">
        <f t="shared" si="24"/>
        <v>1.1999999999999567E-2</v>
      </c>
    </row>
    <row r="117" spans="3:21" x14ac:dyDescent="0.2">
      <c r="C117" s="17">
        <f>'Clean Swap Data'!A89</f>
        <v>43327</v>
      </c>
      <c r="D117" s="26">
        <f>'Clean Swap Data'!B89-'Clean Swap Data'!B88</f>
        <v>-1.6000000000000014E-2</v>
      </c>
      <c r="E117" s="26">
        <f>'Clean Swap Data'!C89-'Clean Swap Data'!C88</f>
        <v>-3.6000000000000032E-2</v>
      </c>
      <c r="F117" s="26">
        <f>'Clean Swap Data'!D89-'Clean Swap Data'!D88</f>
        <v>-4.4000000000000039E-2</v>
      </c>
      <c r="G117" s="26">
        <f>'Clean Swap Data'!E89-'Clean Swap Data'!E88</f>
        <v>-4.8000000000000043E-2</v>
      </c>
      <c r="H117" s="26">
        <f>'Clean Swap Data'!F89-'Clean Swap Data'!F88</f>
        <v>-4.9999999999999822E-2</v>
      </c>
      <c r="I117" s="26">
        <f>'Clean Swap Data'!G89-'Clean Swap Data'!G88</f>
        <v>-5.1000000000000156E-2</v>
      </c>
      <c r="J117" s="26">
        <f>'Clean Swap Data'!H89-'Clean Swap Data'!H88</f>
        <v>-5.2999999999999936E-2</v>
      </c>
      <c r="K117" s="26">
        <f>'Clean Swap Data'!I89-'Clean Swap Data'!I88</f>
        <v>-5.2000000000000046E-2</v>
      </c>
      <c r="L117" s="26">
        <f>'Clean Swap Data'!J89-'Clean Swap Data'!J88</f>
        <v>-5.2000000000000046E-2</v>
      </c>
      <c r="M117" s="26">
        <f>'Clean Swap Data'!K89-'Clean Swap Data'!K88</f>
        <v>-5.1000000000000156E-2</v>
      </c>
      <c r="O117" s="23">
        <f ca="1"/>
        <v>-0.14721141112353961</v>
      </c>
      <c r="P117" s="23">
        <f ca="1"/>
        <v>-5.88258831197052E-3</v>
      </c>
      <c r="Q117" s="23">
        <f ca="1"/>
        <v>-1.5350404799382242E-3</v>
      </c>
      <c r="S117" s="27">
        <f t="shared" si="22"/>
        <v>-5.1000000000000156E-2</v>
      </c>
      <c r="T117" s="27">
        <f t="shared" si="23"/>
        <v>-3.5000000000000142E-2</v>
      </c>
      <c r="U117" s="23">
        <f t="shared" si="24"/>
        <v>2.0999999999999908E-2</v>
      </c>
    </row>
    <row r="118" spans="3:21" x14ac:dyDescent="0.2">
      <c r="C118" s="17">
        <f>'Clean Swap Data'!A90</f>
        <v>43328</v>
      </c>
      <c r="D118" s="26">
        <f>'Clean Swap Data'!B90-'Clean Swap Data'!B89</f>
        <v>2.4999999999999911E-2</v>
      </c>
      <c r="E118" s="26">
        <f>'Clean Swap Data'!C90-'Clean Swap Data'!C89</f>
        <v>3.3999999999999808E-2</v>
      </c>
      <c r="F118" s="26">
        <f>'Clean Swap Data'!D90-'Clean Swap Data'!D89</f>
        <v>3.7999999999999812E-2</v>
      </c>
      <c r="G118" s="26">
        <f>'Clean Swap Data'!E90-'Clean Swap Data'!E89</f>
        <v>3.7999999999999812E-2</v>
      </c>
      <c r="H118" s="26">
        <f>'Clean Swap Data'!F90-'Clean Swap Data'!F89</f>
        <v>3.8999999999999702E-2</v>
      </c>
      <c r="I118" s="26">
        <f>'Clean Swap Data'!G90-'Clean Swap Data'!G89</f>
        <v>4.0000000000000036E-2</v>
      </c>
      <c r="J118" s="26">
        <f>'Clean Swap Data'!H90-'Clean Swap Data'!H89</f>
        <v>3.9999999999999591E-2</v>
      </c>
      <c r="K118" s="26">
        <f>'Clean Swap Data'!I90-'Clean Swap Data'!I89</f>
        <v>3.8000000000000256E-2</v>
      </c>
      <c r="L118" s="26">
        <f>'Clean Swap Data'!J90-'Clean Swap Data'!J89</f>
        <v>3.9000000000000146E-2</v>
      </c>
      <c r="M118" s="26">
        <f>'Clean Swap Data'!K90-'Clean Swap Data'!K89</f>
        <v>3.8000000000000256E-2</v>
      </c>
      <c r="O118" s="23">
        <f ca="1"/>
        <v>0.11687917345422913</v>
      </c>
      <c r="P118" s="23">
        <f ca="1"/>
        <v>-8.0529182460899653E-3</v>
      </c>
      <c r="Q118" s="23">
        <f ca="1"/>
        <v>8.325463007094365E-3</v>
      </c>
      <c r="S118" s="27">
        <f t="shared" si="22"/>
        <v>3.8000000000000256E-2</v>
      </c>
      <c r="T118" s="27">
        <f t="shared" si="23"/>
        <v>1.3000000000000345E-2</v>
      </c>
      <c r="U118" s="23">
        <f t="shared" si="24"/>
        <v>-1.2999999999999456E-2</v>
      </c>
    </row>
    <row r="119" spans="3:21" x14ac:dyDescent="0.2">
      <c r="C119" s="17">
        <f>'Clean Swap Data'!A91</f>
        <v>43329</v>
      </c>
      <c r="D119" s="26">
        <f>'Clean Swap Data'!B91-'Clean Swap Data'!B90</f>
        <v>-8.999999999999897E-3</v>
      </c>
      <c r="E119" s="26">
        <f>'Clean Swap Data'!C91-'Clean Swap Data'!C90</f>
        <v>-9.9999999999997868E-3</v>
      </c>
      <c r="F119" s="26">
        <f>'Clean Swap Data'!D91-'Clean Swap Data'!D90</f>
        <v>-1.0999999999999677E-2</v>
      </c>
      <c r="G119" s="26">
        <f>'Clean Swap Data'!E91-'Clean Swap Data'!E90</f>
        <v>-1.0999999999999677E-2</v>
      </c>
      <c r="H119" s="26">
        <f>'Clean Swap Data'!F91-'Clean Swap Data'!F90</f>
        <v>-1.2000000000000011E-2</v>
      </c>
      <c r="I119" s="26">
        <f>'Clean Swap Data'!G91-'Clean Swap Data'!G90</f>
        <v>-1.5000000000000124E-2</v>
      </c>
      <c r="J119" s="26">
        <f>'Clean Swap Data'!H91-'Clean Swap Data'!H90</f>
        <v>-1.499999999999968E-2</v>
      </c>
      <c r="K119" s="26">
        <f>'Clean Swap Data'!I91-'Clean Swap Data'!I90</f>
        <v>-1.2999999999999901E-2</v>
      </c>
      <c r="L119" s="26">
        <f>'Clean Swap Data'!J91-'Clean Swap Data'!J90</f>
        <v>-1.6000000000000014E-2</v>
      </c>
      <c r="M119" s="26">
        <f>'Clean Swap Data'!K91-'Clean Swap Data'!K90</f>
        <v>-1.6999999999999904E-2</v>
      </c>
      <c r="O119" s="23">
        <f ca="1"/>
        <v>-4.0984074882402799E-2</v>
      </c>
      <c r="P119" s="23">
        <f ca="1"/>
        <v>-1.6754595389852833E-3</v>
      </c>
      <c r="Q119" s="23">
        <f ca="1"/>
        <v>-6.0958297877762059E-3</v>
      </c>
      <c r="S119" s="27">
        <f t="shared" si="22"/>
        <v>-1.6999999999999904E-2</v>
      </c>
      <c r="T119" s="27">
        <f t="shared" si="23"/>
        <v>-8.0000000000000071E-3</v>
      </c>
      <c r="U119" s="23">
        <f t="shared" si="24"/>
        <v>-4.0000000000004476E-3</v>
      </c>
    </row>
    <row r="120" spans="3:21" x14ac:dyDescent="0.2">
      <c r="C120" s="17">
        <f>'Clean Swap Data'!A92</f>
        <v>43332</v>
      </c>
      <c r="D120" s="26">
        <f>'Clean Swap Data'!B92-'Clean Swap Data'!B91</f>
        <v>-1.6999999999999904E-2</v>
      </c>
      <c r="E120" s="26">
        <f>'Clean Swap Data'!C92-'Clean Swap Data'!C91</f>
        <v>-1.3000000000000345E-2</v>
      </c>
      <c r="F120" s="26">
        <f>'Clean Swap Data'!D92-'Clean Swap Data'!D91</f>
        <v>-1.6000000000000014E-2</v>
      </c>
      <c r="G120" s="26">
        <f>'Clean Swap Data'!E92-'Clean Swap Data'!E91</f>
        <v>-1.8000000000000238E-2</v>
      </c>
      <c r="H120" s="26">
        <f>'Clean Swap Data'!F92-'Clean Swap Data'!F91</f>
        <v>-2.0000000000000018E-2</v>
      </c>
      <c r="I120" s="26">
        <f>'Clean Swap Data'!G92-'Clean Swap Data'!G91</f>
        <v>-1.9999999999999574E-2</v>
      </c>
      <c r="J120" s="26">
        <f>'Clean Swap Data'!H92-'Clean Swap Data'!H91</f>
        <v>-2.2000000000000242E-2</v>
      </c>
      <c r="K120" s="26">
        <f>'Clean Swap Data'!I92-'Clean Swap Data'!I91</f>
        <v>-2.3000000000000131E-2</v>
      </c>
      <c r="L120" s="26">
        <f>'Clean Swap Data'!J92-'Clean Swap Data'!J91</f>
        <v>-2.3000000000000131E-2</v>
      </c>
      <c r="M120" s="26">
        <f>'Clean Swap Data'!K92-'Clean Swap Data'!K91</f>
        <v>-2.3000000000000131E-2</v>
      </c>
      <c r="O120" s="23">
        <f ca="1"/>
        <v>-6.1375513158582626E-2</v>
      </c>
      <c r="P120" s="23">
        <f ca="1"/>
        <v>-8.0034482800257767E-4</v>
      </c>
      <c r="Q120" s="23">
        <f ca="1"/>
        <v>-1.1824516426890202E-2</v>
      </c>
      <c r="S120" s="27">
        <f t="shared" si="22"/>
        <v>-2.3000000000000131E-2</v>
      </c>
      <c r="T120" s="27">
        <f t="shared" si="23"/>
        <v>-6.0000000000002274E-3</v>
      </c>
      <c r="U120" s="23">
        <f t="shared" si="24"/>
        <v>-8.0000000000000071E-3</v>
      </c>
    </row>
    <row r="121" spans="3:21" x14ac:dyDescent="0.2">
      <c r="C121" s="17">
        <f>'Clean Swap Data'!A93</f>
        <v>43333</v>
      </c>
      <c r="D121" s="26">
        <f>'Clean Swap Data'!B93-'Clean Swap Data'!B92</f>
        <v>3.9999999999995595E-3</v>
      </c>
      <c r="E121" s="26">
        <f>'Clean Swap Data'!C93-'Clean Swap Data'!C92</f>
        <v>5.0000000000003375E-3</v>
      </c>
      <c r="F121" s="26">
        <f>'Clean Swap Data'!D93-'Clean Swap Data'!D92</f>
        <v>6.9999999999996732E-3</v>
      </c>
      <c r="G121" s="26">
        <f>'Clean Swap Data'!E93-'Clean Swap Data'!E92</f>
        <v>8.0000000000000071E-3</v>
      </c>
      <c r="H121" s="26">
        <f>'Clean Swap Data'!F93-'Clean Swap Data'!F92</f>
        <v>9.0000000000003411E-3</v>
      </c>
      <c r="I121" s="26">
        <f>'Clean Swap Data'!G93-'Clean Swap Data'!G92</f>
        <v>9.9999999999997868E-3</v>
      </c>
      <c r="J121" s="26">
        <f>'Clean Swap Data'!H93-'Clean Swap Data'!H92</f>
        <v>1.1000000000000121E-2</v>
      </c>
      <c r="K121" s="26">
        <f>'Clean Swap Data'!I93-'Clean Swap Data'!I92</f>
        <v>1.1000000000000121E-2</v>
      </c>
      <c r="L121" s="26">
        <f>'Clean Swap Data'!J93-'Clean Swap Data'!J92</f>
        <v>1.1000000000000121E-2</v>
      </c>
      <c r="M121" s="26">
        <f>'Clean Swap Data'!K93-'Clean Swap Data'!K92</f>
        <v>1.2000000000000011E-2</v>
      </c>
      <c r="O121" s="23">
        <f ca="1"/>
        <v>2.8577445776152517E-2</v>
      </c>
      <c r="P121" s="23">
        <f ca="1"/>
        <v>3.9441687493733824E-3</v>
      </c>
      <c r="Q121" s="23">
        <f ca="1"/>
        <v>3.0505612950359473E-3</v>
      </c>
      <c r="S121" s="27">
        <f t="shared" si="22"/>
        <v>1.2000000000000011E-2</v>
      </c>
      <c r="T121" s="27">
        <f t="shared" si="23"/>
        <v>8.0000000000004512E-3</v>
      </c>
      <c r="U121" s="23">
        <f t="shared" si="24"/>
        <v>2.0000000000002238E-3</v>
      </c>
    </row>
    <row r="122" spans="3:21" x14ac:dyDescent="0.2">
      <c r="C122" s="17">
        <f>'Clean Swap Data'!A94</f>
        <v>43334</v>
      </c>
      <c r="D122" s="26">
        <f>'Clean Swap Data'!B94-'Clean Swap Data'!B93</f>
        <v>-3.9999999999995595E-3</v>
      </c>
      <c r="E122" s="26">
        <f>'Clean Swap Data'!C94-'Clean Swap Data'!C93</f>
        <v>-7.0000000000001172E-3</v>
      </c>
      <c r="F122" s="26">
        <f>'Clean Swap Data'!D94-'Clean Swap Data'!D93</f>
        <v>-1.0999999999999677E-2</v>
      </c>
      <c r="G122" s="26">
        <f>'Clean Swap Data'!E94-'Clean Swap Data'!E93</f>
        <v>-1.0999999999999677E-2</v>
      </c>
      <c r="H122" s="26">
        <f>'Clean Swap Data'!F94-'Clean Swap Data'!F93</f>
        <v>-1.2000000000000011E-2</v>
      </c>
      <c r="I122" s="26">
        <f>'Clean Swap Data'!G94-'Clean Swap Data'!G93</f>
        <v>-1.2999999999999901E-2</v>
      </c>
      <c r="J122" s="26">
        <f>'Clean Swap Data'!H94-'Clean Swap Data'!H93</f>
        <v>-1.2999999999999901E-2</v>
      </c>
      <c r="K122" s="26">
        <f>'Clean Swap Data'!I94-'Clean Swap Data'!I93</f>
        <v>-1.2000000000000011E-2</v>
      </c>
      <c r="L122" s="26">
        <f>'Clean Swap Data'!J94-'Clean Swap Data'!J93</f>
        <v>-1.1000000000000121E-2</v>
      </c>
      <c r="M122" s="26">
        <f>'Clean Swap Data'!K94-'Clean Swap Data'!K93</f>
        <v>-1.1000000000000121E-2</v>
      </c>
      <c r="O122" s="23">
        <f ca="1"/>
        <v>-3.4150669853096671E-2</v>
      </c>
      <c r="P122" s="23">
        <f ca="1"/>
        <v>-1.1039868254189102E-3</v>
      </c>
      <c r="Q122" s="23">
        <f ca="1"/>
        <v>-2.7047394806401079E-4</v>
      </c>
      <c r="S122" s="27">
        <f t="shared" si="22"/>
        <v>-1.1000000000000121E-2</v>
      </c>
      <c r="T122" s="27">
        <f t="shared" si="23"/>
        <v>-7.0000000000005613E-3</v>
      </c>
      <c r="U122" s="23">
        <f t="shared" si="24"/>
        <v>6.9999999999996732E-3</v>
      </c>
    </row>
    <row r="123" spans="3:21" x14ac:dyDescent="0.2">
      <c r="C123" s="17">
        <f>'Clean Swap Data'!A95</f>
        <v>43335</v>
      </c>
      <c r="D123" s="26">
        <f>'Clean Swap Data'!B95-'Clean Swap Data'!B94</f>
        <v>5.9999999999997833E-3</v>
      </c>
      <c r="E123" s="26">
        <f>'Clean Swap Data'!C95-'Clean Swap Data'!C94</f>
        <v>0</v>
      </c>
      <c r="F123" s="26">
        <f>'Clean Swap Data'!D95-'Clean Swap Data'!D94</f>
        <v>0</v>
      </c>
      <c r="G123" s="26">
        <f>'Clean Swap Data'!E95-'Clean Swap Data'!E94</f>
        <v>-4.0000000000000036E-3</v>
      </c>
      <c r="H123" s="26">
        <f>'Clean Swap Data'!F95-'Clean Swap Data'!F94</f>
        <v>-5.0000000000003375E-3</v>
      </c>
      <c r="I123" s="26">
        <f>'Clean Swap Data'!G95-'Clean Swap Data'!G94</f>
        <v>-4.9999999999998934E-3</v>
      </c>
      <c r="J123" s="26">
        <f>'Clean Swap Data'!H95-'Clean Swap Data'!H94</f>
        <v>-4.9999999999998934E-3</v>
      </c>
      <c r="K123" s="26">
        <f>'Clean Swap Data'!I95-'Clean Swap Data'!I94</f>
        <v>-4.9999999999998934E-3</v>
      </c>
      <c r="L123" s="26">
        <f>'Clean Swap Data'!J95-'Clean Swap Data'!J94</f>
        <v>-4.0000000000000036E-3</v>
      </c>
      <c r="M123" s="26">
        <f>'Clean Swap Data'!K95-'Clean Swap Data'!K94</f>
        <v>-4.9999999999998934E-3</v>
      </c>
      <c r="O123" s="23">
        <f ca="1"/>
        <v>-1.0531901237627726E-2</v>
      </c>
      <c r="P123" s="23">
        <f ca="1"/>
        <v>-7.4164508742538332E-3</v>
      </c>
      <c r="Q123" s="23">
        <f ca="1"/>
        <v>4.3536233184442866E-3</v>
      </c>
      <c r="S123" s="27">
        <f t="shared" si="22"/>
        <v>-4.9999999999998934E-3</v>
      </c>
      <c r="T123" s="27">
        <f t="shared" si="23"/>
        <v>-1.0999999999999677E-2</v>
      </c>
      <c r="U123" s="23">
        <f t="shared" si="24"/>
        <v>9.9999999999988987E-4</v>
      </c>
    </row>
    <row r="124" spans="3:21" x14ac:dyDescent="0.2">
      <c r="C124" s="17">
        <f>'Clean Swap Data'!A96</f>
        <v>43336</v>
      </c>
      <c r="D124" s="26">
        <f>'Clean Swap Data'!B96-'Clean Swap Data'!B95</f>
        <v>1.2000000000000011E-2</v>
      </c>
      <c r="E124" s="26">
        <f>'Clean Swap Data'!C96-'Clean Swap Data'!C95</f>
        <v>1.6000000000000014E-2</v>
      </c>
      <c r="F124" s="26">
        <f>'Clean Swap Data'!D96-'Clean Swap Data'!D95</f>
        <v>1.2999999999999901E-2</v>
      </c>
      <c r="G124" s="26">
        <f>'Clean Swap Data'!E96-'Clean Swap Data'!E95</f>
        <v>1.2000000000000011E-2</v>
      </c>
      <c r="H124" s="26">
        <f>'Clean Swap Data'!F96-'Clean Swap Data'!F95</f>
        <v>1.1000000000000121E-2</v>
      </c>
      <c r="I124" s="26">
        <f>'Clean Swap Data'!G96-'Clean Swap Data'!G95</f>
        <v>8.999999999999897E-3</v>
      </c>
      <c r="J124" s="26">
        <f>'Clean Swap Data'!H96-'Clean Swap Data'!H95</f>
        <v>6.9999999999996732E-3</v>
      </c>
      <c r="K124" s="26">
        <f>'Clean Swap Data'!I96-'Clean Swap Data'!I95</f>
        <v>3.9999999999995595E-3</v>
      </c>
      <c r="L124" s="26">
        <f>'Clean Swap Data'!J96-'Clean Swap Data'!J95</f>
        <v>1.9999999999997797E-3</v>
      </c>
      <c r="M124" s="26">
        <f>'Clean Swap Data'!K96-'Clean Swap Data'!K95</f>
        <v>9.9999999999988987E-4</v>
      </c>
      <c r="O124" s="23">
        <f ca="1"/>
        <v>2.5556130260867709E-2</v>
      </c>
      <c r="P124" s="23">
        <f ca="1"/>
        <v>-1.7949941464842911E-2</v>
      </c>
      <c r="Q124" s="23">
        <f ca="1"/>
        <v>-2.9130829027648817E-4</v>
      </c>
      <c r="S124" s="27">
        <f t="shared" si="22"/>
        <v>9.9999999999988987E-4</v>
      </c>
      <c r="T124" s="27">
        <f t="shared" si="23"/>
        <v>-1.1000000000000121E-2</v>
      </c>
      <c r="U124" s="23">
        <f t="shared" si="24"/>
        <v>-1.2999999999999901E-2</v>
      </c>
    </row>
    <row r="125" spans="3:21" x14ac:dyDescent="0.2">
      <c r="C125" s="17">
        <f>'Clean Swap Data'!A97</f>
        <v>43339</v>
      </c>
      <c r="D125" s="26">
        <f>'Clean Swap Data'!B97-'Clean Swap Data'!B96</f>
        <v>1.5000000000000124E-2</v>
      </c>
      <c r="E125" s="26">
        <f>'Clean Swap Data'!C97-'Clean Swap Data'!C96</f>
        <v>1.2999999999999901E-2</v>
      </c>
      <c r="F125" s="26">
        <f>'Clean Swap Data'!D97-'Clean Swap Data'!D96</f>
        <v>1.5000000000000124E-2</v>
      </c>
      <c r="G125" s="26">
        <f>'Clean Swap Data'!E97-'Clean Swap Data'!E96</f>
        <v>1.499999999999968E-2</v>
      </c>
      <c r="H125" s="26">
        <f>'Clean Swap Data'!F97-'Clean Swap Data'!F96</f>
        <v>1.4000000000000234E-2</v>
      </c>
      <c r="I125" s="26">
        <f>'Clean Swap Data'!G97-'Clean Swap Data'!G96</f>
        <v>1.399999999999979E-2</v>
      </c>
      <c r="J125" s="26">
        <f>'Clean Swap Data'!H97-'Clean Swap Data'!H96</f>
        <v>1.4000000000000234E-2</v>
      </c>
      <c r="K125" s="26">
        <f>'Clean Swap Data'!I97-'Clean Swap Data'!I96</f>
        <v>1.5000000000000124E-2</v>
      </c>
      <c r="L125" s="26">
        <f>'Clean Swap Data'!J97-'Clean Swap Data'!J96</f>
        <v>1.5000000000000124E-2</v>
      </c>
      <c r="M125" s="26">
        <f>'Clean Swap Data'!K97-'Clean Swap Data'!K96</f>
        <v>1.6000000000000014E-2</v>
      </c>
      <c r="O125" s="23">
        <f ca="1"/>
        <v>4.5130459104662603E-2</v>
      </c>
      <c r="P125" s="23">
        <f ca="1"/>
        <v>-5.6553717646543669E-3</v>
      </c>
      <c r="Q125" s="23">
        <f ca="1"/>
        <v>8.0621377132797118E-3</v>
      </c>
      <c r="S125" s="27">
        <f t="shared" si="22"/>
        <v>1.6000000000000014E-2</v>
      </c>
      <c r="T125" s="27">
        <f t="shared" si="23"/>
        <v>9.9999999999988987E-4</v>
      </c>
      <c r="U125" s="23">
        <f t="shared" si="24"/>
        <v>9.9999999999988987E-4</v>
      </c>
    </row>
    <row r="126" spans="3:21" x14ac:dyDescent="0.2">
      <c r="C126" s="17">
        <f>'Clean Swap Data'!A98</f>
        <v>43340</v>
      </c>
      <c r="D126" s="26">
        <f>'Clean Swap Data'!B98-'Clean Swap Data'!B97</f>
        <v>9.9999999999997868E-3</v>
      </c>
      <c r="E126" s="26">
        <f>'Clean Swap Data'!C98-'Clean Swap Data'!C97</f>
        <v>1.6000000000000014E-2</v>
      </c>
      <c r="F126" s="26">
        <f>'Clean Swap Data'!D98-'Clean Swap Data'!D97</f>
        <v>1.8999999999999684E-2</v>
      </c>
      <c r="G126" s="26">
        <f>'Clean Swap Data'!E98-'Clean Swap Data'!E97</f>
        <v>2.3000000000000131E-2</v>
      </c>
      <c r="H126" s="26">
        <f>'Clean Swap Data'!F98-'Clean Swap Data'!F97</f>
        <v>2.5999999999999801E-2</v>
      </c>
      <c r="I126" s="26">
        <f>'Clean Swap Data'!G98-'Clean Swap Data'!G97</f>
        <v>2.8999999999999915E-2</v>
      </c>
      <c r="J126" s="26">
        <f>'Clean Swap Data'!H98-'Clean Swap Data'!H97</f>
        <v>3.0999999999999694E-2</v>
      </c>
      <c r="K126" s="26">
        <f>'Clean Swap Data'!I98-'Clean Swap Data'!I97</f>
        <v>3.2999999999999918E-2</v>
      </c>
      <c r="L126" s="26">
        <f>'Clean Swap Data'!J98-'Clean Swap Data'!J97</f>
        <v>3.2999999999999918E-2</v>
      </c>
      <c r="M126" s="26">
        <f>'Clean Swap Data'!K98-'Clean Swap Data'!K97</f>
        <v>3.5000000000000142E-2</v>
      </c>
      <c r="O126" s="23">
        <f ca="1"/>
        <v>8.3075707516889016E-2</v>
      </c>
      <c r="P126" s="23">
        <f ca="1"/>
        <v>1.2598990861095258E-2</v>
      </c>
      <c r="Q126" s="23">
        <f ca="1"/>
        <v>7.8759099954032533E-3</v>
      </c>
      <c r="S126" s="27">
        <f t="shared" si="22"/>
        <v>3.5000000000000142E-2</v>
      </c>
      <c r="T126" s="27">
        <f t="shared" si="23"/>
        <v>2.5000000000000355E-2</v>
      </c>
      <c r="U126" s="23">
        <f t="shared" si="24"/>
        <v>7.0000000000005613E-3</v>
      </c>
    </row>
    <row r="127" spans="3:21" x14ac:dyDescent="0.2">
      <c r="C127" s="17">
        <f>'Clean Swap Data'!A99</f>
        <v>43341</v>
      </c>
      <c r="D127" s="26">
        <f>'Clean Swap Data'!B99-'Clean Swap Data'!B98</f>
        <v>9.9999999999988987E-4</v>
      </c>
      <c r="E127" s="26">
        <f>'Clean Swap Data'!C99-'Clean Swap Data'!C98</f>
        <v>1.2999999999999901E-2</v>
      </c>
      <c r="F127" s="26">
        <f>'Clean Swap Data'!D99-'Clean Swap Data'!D98</f>
        <v>1.6999999999999904E-2</v>
      </c>
      <c r="G127" s="26">
        <f>'Clean Swap Data'!E99-'Clean Swap Data'!E98</f>
        <v>1.6999999999999904E-2</v>
      </c>
      <c r="H127" s="26">
        <f>'Clean Swap Data'!F99-'Clean Swap Data'!F98</f>
        <v>1.6000000000000014E-2</v>
      </c>
      <c r="I127" s="26">
        <f>'Clean Swap Data'!G99-'Clean Swap Data'!G98</f>
        <v>1.4000000000000234E-2</v>
      </c>
      <c r="J127" s="26">
        <f>'Clean Swap Data'!H99-'Clean Swap Data'!H98</f>
        <v>1.5000000000000124E-2</v>
      </c>
      <c r="K127" s="26">
        <f>'Clean Swap Data'!I99-'Clean Swap Data'!I98</f>
        <v>1.4000000000000234E-2</v>
      </c>
      <c r="L127" s="26">
        <f>'Clean Swap Data'!J99-'Clean Swap Data'!J98</f>
        <v>1.5000000000000124E-2</v>
      </c>
      <c r="M127" s="26">
        <f>'Clean Swap Data'!K99-'Clean Swap Data'!K98</f>
        <v>1.2999999999999901E-2</v>
      </c>
      <c r="O127" s="23">
        <f ca="1"/>
        <v>4.4444176911559399E-2</v>
      </c>
      <c r="P127" s="23">
        <f ca="1"/>
        <v>-1.0303293951179357E-3</v>
      </c>
      <c r="Q127" s="23">
        <f ca="1"/>
        <v>-5.7513171624057023E-3</v>
      </c>
      <c r="S127" s="27">
        <f t="shared" si="22"/>
        <v>1.2999999999999901E-2</v>
      </c>
      <c r="T127" s="27">
        <f t="shared" si="23"/>
        <v>1.2000000000000011E-2</v>
      </c>
      <c r="U127" s="23">
        <f t="shared" si="24"/>
        <v>-2.0000000000000018E-2</v>
      </c>
    </row>
    <row r="128" spans="3:21" x14ac:dyDescent="0.2">
      <c r="C128" s="17">
        <f>'Clean Swap Data'!A100</f>
        <v>43342</v>
      </c>
      <c r="D128" s="26">
        <f>'Clean Swap Data'!B100-'Clean Swap Data'!B99</f>
        <v>5.0000000000003375E-3</v>
      </c>
      <c r="E128" s="26">
        <f>'Clean Swap Data'!C100-'Clean Swap Data'!C99</f>
        <v>-4.9999999999998934E-3</v>
      </c>
      <c r="F128" s="26">
        <f>'Clean Swap Data'!D100-'Clean Swap Data'!D99</f>
        <v>-9.9999999999997868E-3</v>
      </c>
      <c r="G128" s="26">
        <f>'Clean Swap Data'!E100-'Clean Swap Data'!E99</f>
        <v>-1.2000000000000011E-2</v>
      </c>
      <c r="H128" s="26">
        <f>'Clean Swap Data'!F100-'Clean Swap Data'!F99</f>
        <v>-1.4000000000000234E-2</v>
      </c>
      <c r="I128" s="26">
        <f>'Clean Swap Data'!G100-'Clean Swap Data'!G99</f>
        <v>-1.4000000000000234E-2</v>
      </c>
      <c r="J128" s="26">
        <f>'Clean Swap Data'!H100-'Clean Swap Data'!H99</f>
        <v>-1.6999999999999904E-2</v>
      </c>
      <c r="K128" s="26">
        <f>'Clean Swap Data'!I100-'Clean Swap Data'!I99</f>
        <v>-1.8000000000000238E-2</v>
      </c>
      <c r="L128" s="26">
        <f>'Clean Swap Data'!J100-'Clean Swap Data'!J99</f>
        <v>-2.0000000000000018E-2</v>
      </c>
      <c r="M128" s="26">
        <f>'Clean Swap Data'!K100-'Clean Swap Data'!K99</f>
        <v>-2.0000000000000018E-2</v>
      </c>
      <c r="O128" s="23">
        <f ca="1"/>
        <v>-4.3093018011602841E-2</v>
      </c>
      <c r="P128" s="23">
        <f ca="1"/>
        <v>-1.5093264591464697E-2</v>
      </c>
      <c r="Q128" s="23">
        <f ca="1"/>
        <v>2.8239204388945003E-3</v>
      </c>
      <c r="S128" s="27">
        <f t="shared" si="22"/>
        <v>-2.0000000000000018E-2</v>
      </c>
      <c r="T128" s="27">
        <f t="shared" si="23"/>
        <v>-2.5000000000000355E-2</v>
      </c>
      <c r="U128" s="23">
        <f t="shared" si="24"/>
        <v>4.9999999999998934E-3</v>
      </c>
    </row>
    <row r="129" spans="3:21" x14ac:dyDescent="0.2">
      <c r="C129" s="17">
        <f>'Clean Swap Data'!A101</f>
        <v>43343</v>
      </c>
      <c r="D129" s="26">
        <f>'Clean Swap Data'!B101-'Clean Swap Data'!B100</f>
        <v>-1.4000000000000234E-2</v>
      </c>
      <c r="E129" s="26">
        <f>'Clean Swap Data'!C101-'Clean Swap Data'!C100</f>
        <v>-1.9000000000000128E-2</v>
      </c>
      <c r="F129" s="26">
        <f>'Clean Swap Data'!D101-'Clean Swap Data'!D100</f>
        <v>-2.4999999999999911E-2</v>
      </c>
      <c r="G129" s="26">
        <f>'Clean Swap Data'!E101-'Clean Swap Data'!E100</f>
        <v>-2.5999999999999801E-2</v>
      </c>
      <c r="H129" s="26">
        <f>'Clean Swap Data'!F101-'Clean Swap Data'!F100</f>
        <v>-2.6999999999999691E-2</v>
      </c>
      <c r="I129" s="26">
        <f>'Clean Swap Data'!G101-'Clean Swap Data'!G100</f>
        <v>-2.8000000000000025E-2</v>
      </c>
      <c r="J129" s="26">
        <f>'Clean Swap Data'!H101-'Clean Swap Data'!H100</f>
        <v>-2.8000000000000025E-2</v>
      </c>
      <c r="K129" s="26">
        <f>'Clean Swap Data'!I101-'Clean Swap Data'!I100</f>
        <v>-2.8999999999999915E-2</v>
      </c>
      <c r="L129" s="26">
        <f>'Clean Swap Data'!J101-'Clean Swap Data'!J100</f>
        <v>-2.8000000000000025E-2</v>
      </c>
      <c r="M129" s="26">
        <f>'Clean Swap Data'!K101-'Clean Swap Data'!K100</f>
        <v>-2.8000000000000025E-2</v>
      </c>
      <c r="O129" s="23">
        <f ca="1"/>
        <v>-8.0826138078652104E-2</v>
      </c>
      <c r="P129" s="23">
        <f ca="1"/>
        <v>-4.955624188458848E-4</v>
      </c>
      <c r="Q129" s="23">
        <f ca="1"/>
        <v>-5.2382226246595861E-3</v>
      </c>
      <c r="S129" s="27">
        <f t="shared" si="22"/>
        <v>-2.8000000000000025E-2</v>
      </c>
      <c r="T129" s="27">
        <f t="shared" si="23"/>
        <v>-1.399999999999979E-2</v>
      </c>
      <c r="U129" s="23">
        <f t="shared" si="24"/>
        <v>7.999999999999563E-3</v>
      </c>
    </row>
    <row r="130" spans="3:21" x14ac:dyDescent="0.2">
      <c r="C130" s="17">
        <f>'Clean Swap Data'!A102</f>
        <v>43347</v>
      </c>
      <c r="D130" s="26">
        <f>'Clean Swap Data'!B102-'Clean Swap Data'!B101</f>
        <v>1.8000000000000238E-2</v>
      </c>
      <c r="E130" s="26">
        <f>'Clean Swap Data'!C102-'Clean Swap Data'!C101</f>
        <v>1.6000000000000014E-2</v>
      </c>
      <c r="F130" s="26">
        <f>'Clean Swap Data'!D102-'Clean Swap Data'!D101</f>
        <v>2.0999999999999908E-2</v>
      </c>
      <c r="G130" s="26">
        <f>'Clean Swap Data'!E102-'Clean Swap Data'!E101</f>
        <v>2.5999999999999801E-2</v>
      </c>
      <c r="H130" s="26">
        <f>'Clean Swap Data'!F102-'Clean Swap Data'!F101</f>
        <v>3.0999999999999694E-2</v>
      </c>
      <c r="I130" s="26">
        <f>'Clean Swap Data'!G102-'Clean Swap Data'!G101</f>
        <v>3.6000000000000032E-2</v>
      </c>
      <c r="J130" s="26">
        <f>'Clean Swap Data'!H102-'Clean Swap Data'!H101</f>
        <v>4.0999999999999925E-2</v>
      </c>
      <c r="K130" s="26">
        <f>'Clean Swap Data'!I102-'Clean Swap Data'!I101</f>
        <v>4.4000000000000039E-2</v>
      </c>
      <c r="L130" s="26">
        <f>'Clean Swap Data'!J102-'Clean Swap Data'!J101</f>
        <v>4.6000000000000263E-2</v>
      </c>
      <c r="M130" s="26">
        <f>'Clean Swap Data'!K102-'Clean Swap Data'!K101</f>
        <v>4.8999999999999932E-2</v>
      </c>
      <c r="O130" s="23">
        <f ca="1"/>
        <v>0.10612189051854112</v>
      </c>
      <c r="P130" s="23">
        <f ca="1"/>
        <v>2.1050952174242757E-2</v>
      </c>
      <c r="Q130" s="23">
        <f ca="1"/>
        <v>1.9332882258227872E-2</v>
      </c>
      <c r="S130" s="27">
        <f t="shared" si="22"/>
        <v>4.8999999999999932E-2</v>
      </c>
      <c r="T130" s="27">
        <f t="shared" si="23"/>
        <v>3.0999999999999694E-2</v>
      </c>
      <c r="U130" s="23">
        <f t="shared" si="24"/>
        <v>2.5000000000000355E-2</v>
      </c>
    </row>
    <row r="131" spans="3:21" x14ac:dyDescent="0.2">
      <c r="C131" s="17">
        <f>'Clean Swap Data'!A103</f>
        <v>43348</v>
      </c>
      <c r="D131" s="26">
        <f>'Clean Swap Data'!B103-'Clean Swap Data'!B102</f>
        <v>-6.0000000000002274E-3</v>
      </c>
      <c r="E131" s="26">
        <f>'Clean Swap Data'!C103-'Clean Swap Data'!C102</f>
        <v>-4.0000000000000036E-3</v>
      </c>
      <c r="F131" s="26">
        <f>'Clean Swap Data'!D103-'Clean Swap Data'!D102</f>
        <v>-2.0000000000002238E-3</v>
      </c>
      <c r="G131" s="26">
        <f>'Clean Swap Data'!E103-'Clean Swap Data'!E102</f>
        <v>-1.9999999999997797E-3</v>
      </c>
      <c r="H131" s="26">
        <f>'Clean Swap Data'!F103-'Clean Swap Data'!F102</f>
        <v>-9.9999999999988987E-4</v>
      </c>
      <c r="I131" s="26">
        <f>'Clean Swap Data'!G103-'Clean Swap Data'!G102</f>
        <v>-9.9999999999988987E-4</v>
      </c>
      <c r="J131" s="26">
        <f>'Clean Swap Data'!H103-'Clean Swap Data'!H102</f>
        <v>-9.9999999999988987E-4</v>
      </c>
      <c r="K131" s="26">
        <f>'Clean Swap Data'!I103-'Clean Swap Data'!I102</f>
        <v>0</v>
      </c>
      <c r="L131" s="26">
        <f>'Clean Swap Data'!J103-'Clean Swap Data'!J102</f>
        <v>9.9999999999988987E-4</v>
      </c>
      <c r="M131" s="26">
        <f>'Clean Swap Data'!K103-'Clean Swap Data'!K102</f>
        <v>1.000000000000334E-3</v>
      </c>
      <c r="O131" s="23">
        <f ca="1"/>
        <v>-3.45460159211862E-3</v>
      </c>
      <c r="P131" s="23">
        <f ca="1"/>
        <v>6.6306942337978425E-3</v>
      </c>
      <c r="Q131" s="23">
        <f ca="1"/>
        <v>-2.6545831132420636E-3</v>
      </c>
      <c r="S131" s="27">
        <f t="shared" si="22"/>
        <v>1.000000000000334E-3</v>
      </c>
      <c r="T131" s="27">
        <f t="shared" si="23"/>
        <v>7.0000000000005613E-3</v>
      </c>
      <c r="U131" s="23">
        <f t="shared" si="24"/>
        <v>-9.9999999999944578E-4</v>
      </c>
    </row>
    <row r="132" spans="3:21" x14ac:dyDescent="0.2">
      <c r="C132" s="17">
        <f>'Clean Swap Data'!A104</f>
        <v>43349</v>
      </c>
      <c r="D132" s="26">
        <f>'Clean Swap Data'!B104-'Clean Swap Data'!B103</f>
        <v>0</v>
      </c>
      <c r="E132" s="26">
        <f>'Clean Swap Data'!C104-'Clean Swap Data'!C103</f>
        <v>-9.9999999999997868E-3</v>
      </c>
      <c r="F132" s="26">
        <f>'Clean Swap Data'!D104-'Clean Swap Data'!D103</f>
        <v>-1.599999999999957E-2</v>
      </c>
      <c r="G132" s="26">
        <f>'Clean Swap Data'!E104-'Clean Swap Data'!E103</f>
        <v>-1.9000000000000128E-2</v>
      </c>
      <c r="H132" s="26">
        <f>'Clean Swap Data'!F104-'Clean Swap Data'!F103</f>
        <v>-2.0999999999999908E-2</v>
      </c>
      <c r="I132" s="26">
        <f>'Clean Swap Data'!G104-'Clean Swap Data'!G103</f>
        <v>-2.1999999999999797E-2</v>
      </c>
      <c r="J132" s="26">
        <f>'Clean Swap Data'!H104-'Clean Swap Data'!H103</f>
        <v>-2.2000000000000242E-2</v>
      </c>
      <c r="K132" s="26">
        <f>'Clean Swap Data'!I104-'Clean Swap Data'!I103</f>
        <v>-2.1999999999999797E-2</v>
      </c>
      <c r="L132" s="26">
        <f>'Clean Swap Data'!J104-'Clean Swap Data'!J103</f>
        <v>-2.2000000000000242E-2</v>
      </c>
      <c r="M132" s="26">
        <f>'Clean Swap Data'!K104-'Clean Swap Data'!K103</f>
        <v>-2.2000000000000242E-2</v>
      </c>
      <c r="O132" s="23">
        <f ca="1"/>
        <v>-5.8888342690589582E-2</v>
      </c>
      <c r="P132" s="23">
        <f ca="1"/>
        <v>-9.7754650727322652E-3</v>
      </c>
      <c r="Q132" s="23">
        <f ca="1"/>
        <v>2.8263496868079141E-3</v>
      </c>
      <c r="S132" s="27">
        <f t="shared" si="22"/>
        <v>-2.2000000000000242E-2</v>
      </c>
      <c r="T132" s="27">
        <f t="shared" si="23"/>
        <v>-2.2000000000000242E-2</v>
      </c>
      <c r="U132" s="23">
        <f t="shared" si="24"/>
        <v>9.9999999999988987E-3</v>
      </c>
    </row>
    <row r="133" spans="3:21" x14ac:dyDescent="0.2">
      <c r="C133" s="17">
        <f>'Clean Swap Data'!A105</f>
        <v>43350</v>
      </c>
      <c r="D133" s="26">
        <f>'Clean Swap Data'!B105-'Clean Swap Data'!B104</f>
        <v>4.0999999999999925E-2</v>
      </c>
      <c r="E133" s="26">
        <f>'Clean Swap Data'!C105-'Clean Swap Data'!C104</f>
        <v>5.7999999999999829E-2</v>
      </c>
      <c r="F133" s="26">
        <f>'Clean Swap Data'!D105-'Clean Swap Data'!D104</f>
        <v>6.5999999999999837E-2</v>
      </c>
      <c r="G133" s="26">
        <f>'Clean Swap Data'!E105-'Clean Swap Data'!E104</f>
        <v>6.7000000000000171E-2</v>
      </c>
      <c r="H133" s="26">
        <f>'Clean Swap Data'!F105-'Clean Swap Data'!F104</f>
        <v>6.800000000000006E-2</v>
      </c>
      <c r="I133" s="26">
        <f>'Clean Swap Data'!G105-'Clean Swap Data'!G104</f>
        <v>6.800000000000006E-2</v>
      </c>
      <c r="J133" s="26">
        <f>'Clean Swap Data'!H105-'Clean Swap Data'!H104</f>
        <v>6.5000000000000391E-2</v>
      </c>
      <c r="K133" s="26">
        <f>'Clean Swap Data'!I105-'Clean Swap Data'!I104</f>
        <v>6.2999999999999723E-2</v>
      </c>
      <c r="L133" s="26">
        <f>'Clean Swap Data'!J105-'Clean Swap Data'!J104</f>
        <v>6.2000000000000277E-2</v>
      </c>
      <c r="M133" s="26">
        <f>'Clean Swap Data'!K105-'Clean Swap Data'!K104</f>
        <v>6.0000000000000053E-2</v>
      </c>
      <c r="O133" s="23">
        <f ca="1"/>
        <v>0.19582026313126724</v>
      </c>
      <c r="P133" s="23">
        <f ca="1"/>
        <v>-1.81263167890174E-2</v>
      </c>
      <c r="Q133" s="23">
        <f ca="1"/>
        <v>9.6288387952618518E-3</v>
      </c>
      <c r="S133" s="27">
        <f t="shared" si="22"/>
        <v>6.0000000000000053E-2</v>
      </c>
      <c r="T133" s="27">
        <f t="shared" si="23"/>
        <v>1.9000000000000128E-2</v>
      </c>
      <c r="U133" s="23">
        <f t="shared" si="24"/>
        <v>-3.0999999999999694E-2</v>
      </c>
    </row>
    <row r="134" spans="3:21" x14ac:dyDescent="0.2">
      <c r="C134" s="17">
        <f>'Clean Swap Data'!A106</f>
        <v>43353</v>
      </c>
      <c r="D134" s="26">
        <f>'Clean Swap Data'!B106-'Clean Swap Data'!B105</f>
        <v>8.0000000000000071E-3</v>
      </c>
      <c r="E134" s="26">
        <f>'Clean Swap Data'!C106-'Clean Swap Data'!C105</f>
        <v>8.0000000000000071E-3</v>
      </c>
      <c r="F134" s="26">
        <f>'Clean Swap Data'!D106-'Clean Swap Data'!D105</f>
        <v>5.9999999999997833E-3</v>
      </c>
      <c r="G134" s="26">
        <f>'Clean Swap Data'!E106-'Clean Swap Data'!E105</f>
        <v>4.0000000000000036E-3</v>
      </c>
      <c r="H134" s="26">
        <f>'Clean Swap Data'!F106-'Clean Swap Data'!F105</f>
        <v>1.9999999999997797E-3</v>
      </c>
      <c r="I134" s="26">
        <f>'Clean Swap Data'!G106-'Clean Swap Data'!G105</f>
        <v>-2.0000000000002238E-3</v>
      </c>
      <c r="J134" s="26">
        <f>'Clean Swap Data'!H106-'Clean Swap Data'!H105</f>
        <v>-3.0000000000001137E-3</v>
      </c>
      <c r="K134" s="26">
        <f>'Clean Swap Data'!I106-'Clean Swap Data'!I105</f>
        <v>-4.0000000000000036E-3</v>
      </c>
      <c r="L134" s="26">
        <f>'Clean Swap Data'!J106-'Clean Swap Data'!J105</f>
        <v>-6.0000000000002274E-3</v>
      </c>
      <c r="M134" s="26">
        <f>'Clean Swap Data'!K106-'Clean Swap Data'!K105</f>
        <v>-5.9999999999997833E-3</v>
      </c>
      <c r="O134" s="23">
        <f ca="1"/>
        <v>-1.0014435172128787E-4</v>
      </c>
      <c r="P134" s="23">
        <f ca="1"/>
        <v>-1.6789588875577143E-2</v>
      </c>
      <c r="Q134" s="23">
        <f ca="1"/>
        <v>-6.4383693442116095E-4</v>
      </c>
      <c r="S134" s="27">
        <f t="shared" si="22"/>
        <v>-5.9999999999997833E-3</v>
      </c>
      <c r="T134" s="27">
        <f t="shared" si="23"/>
        <v>-1.399999999999979E-2</v>
      </c>
      <c r="U134" s="23">
        <f t="shared" si="24"/>
        <v>-9.9999999999993427E-3</v>
      </c>
    </row>
    <row r="135" spans="3:21" x14ac:dyDescent="0.2">
      <c r="C135" s="17">
        <f>'Clean Swap Data'!A107</f>
        <v>43354</v>
      </c>
      <c r="D135" s="26">
        <f>'Clean Swap Data'!B107-'Clean Swap Data'!B106</f>
        <v>1.8000000000000238E-2</v>
      </c>
      <c r="E135" s="26">
        <f>'Clean Swap Data'!C107-'Clean Swap Data'!C106</f>
        <v>2.6000000000000245E-2</v>
      </c>
      <c r="F135" s="26">
        <f>'Clean Swap Data'!D107-'Clean Swap Data'!D106</f>
        <v>3.2000000000000028E-2</v>
      </c>
      <c r="G135" s="26">
        <f>'Clean Swap Data'!E107-'Clean Swap Data'!E106</f>
        <v>3.3999999999999808E-2</v>
      </c>
      <c r="H135" s="26">
        <f>'Clean Swap Data'!F107-'Clean Swap Data'!F106</f>
        <v>3.3000000000000362E-2</v>
      </c>
      <c r="I135" s="26">
        <f>'Clean Swap Data'!G107-'Clean Swap Data'!G106</f>
        <v>3.2999999999999918E-2</v>
      </c>
      <c r="J135" s="26">
        <f>'Clean Swap Data'!H107-'Clean Swap Data'!H106</f>
        <v>3.2000000000000028E-2</v>
      </c>
      <c r="K135" s="26">
        <f>'Clean Swap Data'!I107-'Clean Swap Data'!I106</f>
        <v>3.1000000000000139E-2</v>
      </c>
      <c r="L135" s="26">
        <f>'Clean Swap Data'!J107-'Clean Swap Data'!J106</f>
        <v>2.8999999999999915E-2</v>
      </c>
      <c r="M135" s="26">
        <f>'Clean Swap Data'!K107-'Clean Swap Data'!K106</f>
        <v>2.7999999999999581E-2</v>
      </c>
      <c r="O135" s="23">
        <f ca="1"/>
        <v>9.4277657402028647E-2</v>
      </c>
      <c r="P135" s="23">
        <f ca="1"/>
        <v>-7.6972404214738326E-3</v>
      </c>
      <c r="Q135" s="23">
        <f ca="1"/>
        <v>2.8597343964457339E-3</v>
      </c>
      <c r="S135" s="27">
        <f t="shared" si="22"/>
        <v>2.7999999999999581E-2</v>
      </c>
      <c r="T135" s="27">
        <f t="shared" si="23"/>
        <v>9.9999999999993427E-3</v>
      </c>
      <c r="U135" s="23">
        <f t="shared" si="24"/>
        <v>-1.8000000000000238E-2</v>
      </c>
    </row>
    <row r="136" spans="3:21" x14ac:dyDescent="0.2">
      <c r="C136" s="17">
        <f>'Clean Swap Data'!A108</f>
        <v>43355</v>
      </c>
      <c r="D136" s="26">
        <f>'Clean Swap Data'!B108-'Clean Swap Data'!B107</f>
        <v>-8.0000000000000071E-3</v>
      </c>
      <c r="E136" s="26">
        <f>'Clean Swap Data'!C108-'Clean Swap Data'!C107</f>
        <v>-2.0000000000002238E-3</v>
      </c>
      <c r="F136" s="26">
        <f>'Clean Swap Data'!D108-'Clean Swap Data'!D107</f>
        <v>-4.0000000000000036E-3</v>
      </c>
      <c r="G136" s="26">
        <f>'Clean Swap Data'!E108-'Clean Swap Data'!E107</f>
        <v>-4.0000000000000036E-3</v>
      </c>
      <c r="H136" s="26">
        <f>'Clean Swap Data'!F108-'Clean Swap Data'!F107</f>
        <v>-5.0000000000003375E-3</v>
      </c>
      <c r="I136" s="26">
        <f>'Clean Swap Data'!G108-'Clean Swap Data'!G107</f>
        <v>-4.0000000000000036E-3</v>
      </c>
      <c r="J136" s="26">
        <f>'Clean Swap Data'!H108-'Clean Swap Data'!H107</f>
        <v>-4.9999999999998934E-3</v>
      </c>
      <c r="K136" s="26">
        <f>'Clean Swap Data'!I108-'Clean Swap Data'!I107</f>
        <v>-4.9999999999998934E-3</v>
      </c>
      <c r="L136" s="26">
        <f>'Clean Swap Data'!J108-'Clean Swap Data'!J107</f>
        <v>-2.9999999999996696E-3</v>
      </c>
      <c r="M136" s="26">
        <f>'Clean Swap Data'!K108-'Clean Swap Data'!K107</f>
        <v>-2.9999999999996696E-3</v>
      </c>
      <c r="O136" s="23">
        <f ca="1"/>
        <v>-1.2659741502140599E-2</v>
      </c>
      <c r="P136" s="23">
        <f ca="1"/>
        <v>3.2342421696060623E-3</v>
      </c>
      <c r="Q136" s="23">
        <f ca="1"/>
        <v>-5.3898691216178792E-3</v>
      </c>
      <c r="S136" s="27">
        <f t="shared" si="22"/>
        <v>-2.9999999999996696E-3</v>
      </c>
      <c r="T136" s="27">
        <f t="shared" si="23"/>
        <v>5.0000000000003375E-3</v>
      </c>
      <c r="U136" s="23">
        <f t="shared" si="24"/>
        <v>-2.9999999999996696E-3</v>
      </c>
    </row>
    <row r="137" spans="3:21" x14ac:dyDescent="0.2">
      <c r="C137" s="17">
        <f>'Clean Swap Data'!A109</f>
        <v>43356</v>
      </c>
      <c r="D137" s="26">
        <f>'Clean Swap Data'!B109-'Clean Swap Data'!B108</f>
        <v>1.9999999999997797E-3</v>
      </c>
      <c r="E137" s="26">
        <f>'Clean Swap Data'!C109-'Clean Swap Data'!C108</f>
        <v>8.999999999999897E-3</v>
      </c>
      <c r="F137" s="26">
        <f>'Clean Swap Data'!D109-'Clean Swap Data'!D108</f>
        <v>7.0000000000001172E-3</v>
      </c>
      <c r="G137" s="26">
        <f>'Clean Swap Data'!E109-'Clean Swap Data'!E108</f>
        <v>6.0000000000002274E-3</v>
      </c>
      <c r="H137" s="26">
        <f>'Clean Swap Data'!F109-'Clean Swap Data'!F108</f>
        <v>7.0000000000001172E-3</v>
      </c>
      <c r="I137" s="26">
        <f>'Clean Swap Data'!G109-'Clean Swap Data'!G108</f>
        <v>5.0000000000003375E-3</v>
      </c>
      <c r="J137" s="26">
        <f>'Clean Swap Data'!H109-'Clean Swap Data'!H108</f>
        <v>4.0000000000000036E-3</v>
      </c>
      <c r="K137" s="26">
        <f>'Clean Swap Data'!I109-'Clean Swap Data'!I108</f>
        <v>4.0000000000000036E-3</v>
      </c>
      <c r="L137" s="26">
        <f>'Clean Swap Data'!J109-'Clean Swap Data'!J108</f>
        <v>2.9999999999996696E-3</v>
      </c>
      <c r="M137" s="26">
        <f>'Clean Swap Data'!K109-'Clean Swap Data'!K108</f>
        <v>1.9999999999997797E-3</v>
      </c>
      <c r="O137" s="23">
        <f ca="1"/>
        <v>1.5450395958445672E-2</v>
      </c>
      <c r="P137" s="23">
        <f ca="1"/>
        <v>-5.8916210954733346E-3</v>
      </c>
      <c r="Q137" s="23">
        <f ca="1"/>
        <v>-3.2056187363136771E-3</v>
      </c>
      <c r="S137" s="27">
        <f t="shared" si="22"/>
        <v>1.9999999999997797E-3</v>
      </c>
      <c r="T137" s="27">
        <f t="shared" si="23"/>
        <v>0</v>
      </c>
      <c r="U137" s="23">
        <f t="shared" si="24"/>
        <v>-1.0000000000000675E-2</v>
      </c>
    </row>
    <row r="138" spans="3:21" x14ac:dyDescent="0.2">
      <c r="C138" s="17">
        <f>'Clean Swap Data'!A110</f>
        <v>43357</v>
      </c>
      <c r="D138" s="26">
        <f>'Clean Swap Data'!B110-'Clean Swap Data'!B109</f>
        <v>1.0000000000000231E-2</v>
      </c>
      <c r="E138" s="26">
        <f>'Clean Swap Data'!C110-'Clean Swap Data'!C109</f>
        <v>2.5000000000000355E-2</v>
      </c>
      <c r="F138" s="26">
        <f>'Clean Swap Data'!D110-'Clean Swap Data'!D109</f>
        <v>3.2000000000000028E-2</v>
      </c>
      <c r="G138" s="26">
        <f>'Clean Swap Data'!E110-'Clean Swap Data'!E109</f>
        <v>3.3999999999999808E-2</v>
      </c>
      <c r="H138" s="26">
        <f>'Clean Swap Data'!F110-'Clean Swap Data'!F109</f>
        <v>3.6000000000000032E-2</v>
      </c>
      <c r="I138" s="26">
        <f>'Clean Swap Data'!G110-'Clean Swap Data'!G109</f>
        <v>3.5999999999999588E-2</v>
      </c>
      <c r="J138" s="26">
        <f>'Clean Swap Data'!H110-'Clean Swap Data'!H109</f>
        <v>3.6999999999999922E-2</v>
      </c>
      <c r="K138" s="26">
        <f>'Clean Swap Data'!I110-'Clean Swap Data'!I109</f>
        <v>3.6000000000000032E-2</v>
      </c>
      <c r="L138" s="26">
        <f>'Clean Swap Data'!J110-'Clean Swap Data'!J109</f>
        <v>3.6000000000000032E-2</v>
      </c>
      <c r="M138" s="26">
        <f>'Clean Swap Data'!K110-'Clean Swap Data'!K109</f>
        <v>3.5000000000000142E-2</v>
      </c>
      <c r="O138" s="23">
        <f ca="1"/>
        <v>0.10327111595576408</v>
      </c>
      <c r="P138" s="23">
        <f ca="1"/>
        <v>3.7544512312121126E-3</v>
      </c>
      <c r="Q138" s="23">
        <f ca="1"/>
        <v>-7.3093096019819469E-4</v>
      </c>
      <c r="S138" s="27">
        <f t="shared" si="22"/>
        <v>3.5000000000000142E-2</v>
      </c>
      <c r="T138" s="27">
        <f t="shared" si="23"/>
        <v>2.4999999999999911E-2</v>
      </c>
      <c r="U138" s="23">
        <f t="shared" si="24"/>
        <v>-1.8999999999999684E-2</v>
      </c>
    </row>
    <row r="139" spans="3:21" x14ac:dyDescent="0.2">
      <c r="C139" s="17">
        <f>'Clean Swap Data'!A111</f>
        <v>43360</v>
      </c>
      <c r="D139" s="26">
        <f>'Clean Swap Data'!B111-'Clean Swap Data'!B110</f>
        <v>-3.0000000000001137E-3</v>
      </c>
      <c r="E139" s="26">
        <f>'Clean Swap Data'!C111-'Clean Swap Data'!C110</f>
        <v>-4.0000000000000036E-3</v>
      </c>
      <c r="F139" s="26">
        <f>'Clean Swap Data'!D111-'Clean Swap Data'!D110</f>
        <v>-4.9999999999998934E-3</v>
      </c>
      <c r="G139" s="26">
        <f>'Clean Swap Data'!E111-'Clean Swap Data'!E110</f>
        <v>-4.9999999999998934E-3</v>
      </c>
      <c r="H139" s="26">
        <f>'Clean Swap Data'!F111-'Clean Swap Data'!F110</f>
        <v>-6.0000000000002274E-3</v>
      </c>
      <c r="I139" s="26">
        <f>'Clean Swap Data'!G111-'Clean Swap Data'!G110</f>
        <v>-4.9999999999998934E-3</v>
      </c>
      <c r="J139" s="26">
        <f>'Clean Swap Data'!H111-'Clean Swap Data'!H110</f>
        <v>-5.0000000000003375E-3</v>
      </c>
      <c r="K139" s="26">
        <f>'Clean Swap Data'!I111-'Clean Swap Data'!I110</f>
        <v>-5.0000000000003375E-3</v>
      </c>
      <c r="L139" s="26">
        <f>'Clean Swap Data'!J111-'Clean Swap Data'!J110</f>
        <v>-4.9999999999998934E-3</v>
      </c>
      <c r="M139" s="26">
        <f>'Clean Swap Data'!K111-'Clean Swap Data'!K110</f>
        <v>-4.9999999999998934E-3</v>
      </c>
      <c r="O139" s="23">
        <f ca="1"/>
        <v>-1.5289222924989767E-2</v>
      </c>
      <c r="P139" s="23">
        <f ca="1"/>
        <v>8.3946303558994845E-4</v>
      </c>
      <c r="Q139" s="23">
        <f ca="1"/>
        <v>-8.1424194515096904E-4</v>
      </c>
      <c r="S139" s="27">
        <f t="shared" si="22"/>
        <v>-4.9999999999998934E-3</v>
      </c>
      <c r="T139" s="27">
        <f t="shared" si="23"/>
        <v>-1.9999999999997797E-3</v>
      </c>
      <c r="U139" s="23">
        <f t="shared" si="24"/>
        <v>1.9999999999997797E-3</v>
      </c>
    </row>
    <row r="140" spans="3:21" x14ac:dyDescent="0.2">
      <c r="C140" s="17">
        <f>'Clean Swap Data'!A112</f>
        <v>43361</v>
      </c>
      <c r="D140" s="26">
        <f>'Clean Swap Data'!B112-'Clean Swap Data'!B111</f>
        <v>0</v>
      </c>
      <c r="E140" s="26">
        <f>'Clean Swap Data'!C112-'Clean Swap Data'!C111</f>
        <v>2.9999999999996696E-3</v>
      </c>
      <c r="F140" s="26">
        <f>'Clean Swap Data'!D112-'Clean Swap Data'!D111</f>
        <v>8.0000000000000071E-3</v>
      </c>
      <c r="G140" s="26">
        <f>'Clean Swap Data'!E112-'Clean Swap Data'!E111</f>
        <v>1.499999999999968E-2</v>
      </c>
      <c r="H140" s="26">
        <f>'Clean Swap Data'!F112-'Clean Swap Data'!F111</f>
        <v>2.0000000000000018E-2</v>
      </c>
      <c r="I140" s="26">
        <f>'Clean Swap Data'!G112-'Clean Swap Data'!G111</f>
        <v>2.3000000000000131E-2</v>
      </c>
      <c r="J140" s="26">
        <f>'Clean Swap Data'!H112-'Clean Swap Data'!H111</f>
        <v>2.7000000000000135E-2</v>
      </c>
      <c r="K140" s="26">
        <f>'Clean Swap Data'!I112-'Clean Swap Data'!I111</f>
        <v>3.0000000000000249E-2</v>
      </c>
      <c r="L140" s="26">
        <f>'Clean Swap Data'!J112-'Clean Swap Data'!J111</f>
        <v>3.2000000000000028E-2</v>
      </c>
      <c r="M140" s="26">
        <f>'Clean Swap Data'!K112-'Clean Swap Data'!K111</f>
        <v>3.3999999999999808E-2</v>
      </c>
      <c r="O140" s="23">
        <f ca="1"/>
        <v>6.5005808634179069E-2</v>
      </c>
      <c r="P140" s="23">
        <f ca="1"/>
        <v>2.7474531849649056E-2</v>
      </c>
      <c r="Q140" s="23">
        <f ca="1"/>
        <v>7.3250792634437494E-3</v>
      </c>
      <c r="S140" s="27">
        <f t="shared" si="22"/>
        <v>3.3999999999999808E-2</v>
      </c>
      <c r="T140" s="27">
        <f t="shared" si="23"/>
        <v>3.3999999999999808E-2</v>
      </c>
      <c r="U140" s="23">
        <f t="shared" si="24"/>
        <v>1.7999999999999794E-2</v>
      </c>
    </row>
    <row r="141" spans="3:21" x14ac:dyDescent="0.2">
      <c r="C141" s="17">
        <f>'Clean Swap Data'!A113</f>
        <v>43362</v>
      </c>
      <c r="D141" s="26">
        <f>'Clean Swap Data'!B113-'Clean Swap Data'!B112</f>
        <v>1.6999999999999904E-2</v>
      </c>
      <c r="E141" s="26">
        <f>'Clean Swap Data'!C113-'Clean Swap Data'!C112</f>
        <v>2.2000000000000242E-2</v>
      </c>
      <c r="F141" s="26">
        <f>'Clean Swap Data'!D113-'Clean Swap Data'!D112</f>
        <v>3.0999999999999694E-2</v>
      </c>
      <c r="G141" s="26">
        <f>'Clean Swap Data'!E113-'Clean Swap Data'!E112</f>
        <v>3.6000000000000032E-2</v>
      </c>
      <c r="H141" s="26">
        <f>'Clean Swap Data'!F113-'Clean Swap Data'!F112</f>
        <v>4.1000000000000369E-2</v>
      </c>
      <c r="I141" s="26">
        <f>'Clean Swap Data'!G113-'Clean Swap Data'!G112</f>
        <v>4.4999999999999929E-2</v>
      </c>
      <c r="J141" s="26">
        <f>'Clean Swap Data'!H113-'Clean Swap Data'!H112</f>
        <v>4.8000000000000043E-2</v>
      </c>
      <c r="K141" s="26">
        <f>'Clean Swap Data'!I113-'Clean Swap Data'!I112</f>
        <v>5.2000000000000046E-2</v>
      </c>
      <c r="L141" s="26">
        <f>'Clean Swap Data'!J113-'Clean Swap Data'!J112</f>
        <v>5.2999999999999936E-2</v>
      </c>
      <c r="M141" s="26">
        <f>'Clean Swap Data'!K113-'Clean Swap Data'!K112</f>
        <v>5.500000000000016E-2</v>
      </c>
      <c r="O141" s="23">
        <f ca="1"/>
        <v>0.13021868649967513</v>
      </c>
      <c r="P141" s="23">
        <f ca="1"/>
        <v>2.0491458284754863E-2</v>
      </c>
      <c r="Q141" s="23">
        <f ca="1"/>
        <v>1.4073583299038211E-2</v>
      </c>
      <c r="S141" s="27">
        <f t="shared" si="22"/>
        <v>5.500000000000016E-2</v>
      </c>
      <c r="T141" s="27">
        <f t="shared" si="23"/>
        <v>3.8000000000000256E-2</v>
      </c>
      <c r="U141" s="23">
        <f t="shared" si="24"/>
        <v>1.0000000000000675E-2</v>
      </c>
    </row>
    <row r="142" spans="3:21" x14ac:dyDescent="0.2">
      <c r="C142" s="17">
        <f>'Clean Swap Data'!A114</f>
        <v>43363</v>
      </c>
      <c r="D142" s="26">
        <f>'Clean Swap Data'!B114-'Clean Swap Data'!B113</f>
        <v>2.4000000000000021E-2</v>
      </c>
      <c r="E142" s="26">
        <f>'Clean Swap Data'!C114-'Clean Swap Data'!C113</f>
        <v>1.1000000000000121E-2</v>
      </c>
      <c r="F142" s="26">
        <f>'Clean Swap Data'!D114-'Clean Swap Data'!D113</f>
        <v>7.0000000000001172E-3</v>
      </c>
      <c r="G142" s="26">
        <f>'Clean Swap Data'!E114-'Clean Swap Data'!E113</f>
        <v>4.0000000000000036E-3</v>
      </c>
      <c r="H142" s="26">
        <f>'Clean Swap Data'!F114-'Clean Swap Data'!F113</f>
        <v>0</v>
      </c>
      <c r="I142" s="26">
        <f>'Clean Swap Data'!G114-'Clean Swap Data'!G113</f>
        <v>-1.9999999999997797E-3</v>
      </c>
      <c r="J142" s="26">
        <f>'Clean Swap Data'!H114-'Clean Swap Data'!H113</f>
        <v>-4.9999999999998934E-3</v>
      </c>
      <c r="K142" s="26">
        <f>'Clean Swap Data'!I114-'Clean Swap Data'!I113</f>
        <v>-8.0000000000000071E-3</v>
      </c>
      <c r="L142" s="26">
        <f>'Clean Swap Data'!J114-'Clean Swap Data'!J113</f>
        <v>-1.0999999999999677E-2</v>
      </c>
      <c r="M142" s="26">
        <f>'Clean Swap Data'!K114-'Clean Swap Data'!K113</f>
        <v>-1.0000000000000231E-2</v>
      </c>
      <c r="O142" s="23">
        <f ca="1"/>
        <v>-2.8457780294600991E-3</v>
      </c>
      <c r="P142" s="23">
        <f ca="1"/>
        <v>-3.0988840025244064E-2</v>
      </c>
      <c r="Q142" s="23">
        <f ca="1"/>
        <v>9.9539189456662961E-3</v>
      </c>
      <c r="S142" s="27">
        <f t="shared" si="22"/>
        <v>-1.0000000000000231E-2</v>
      </c>
      <c r="T142" s="27">
        <f t="shared" si="23"/>
        <v>-3.4000000000000252E-2</v>
      </c>
      <c r="U142" s="23">
        <f t="shared" si="24"/>
        <v>-4.4408920985006262E-16</v>
      </c>
    </row>
    <row r="143" spans="3:21" x14ac:dyDescent="0.2">
      <c r="C143" s="17">
        <f>'Clean Swap Data'!A115</f>
        <v>43364</v>
      </c>
      <c r="D143" s="26">
        <f>'Clean Swap Data'!B115-'Clean Swap Data'!B114</f>
        <v>-8.0000000000000071E-3</v>
      </c>
      <c r="E143" s="26">
        <f>'Clean Swap Data'!C115-'Clean Swap Data'!C114</f>
        <v>0</v>
      </c>
      <c r="F143" s="26">
        <f>'Clean Swap Data'!D115-'Clean Swap Data'!D114</f>
        <v>9.9999999999988987E-4</v>
      </c>
      <c r="G143" s="26">
        <f>'Clean Swap Data'!E115-'Clean Swap Data'!E114</f>
        <v>-9.9999999999988987E-4</v>
      </c>
      <c r="H143" s="26">
        <f>'Clean Swap Data'!F115-'Clean Swap Data'!F114</f>
        <v>-2.0000000000002238E-3</v>
      </c>
      <c r="I143" s="26">
        <f>'Clean Swap Data'!G115-'Clean Swap Data'!G114</f>
        <v>-3.0000000000001137E-3</v>
      </c>
      <c r="J143" s="26">
        <f>'Clean Swap Data'!H115-'Clean Swap Data'!H114</f>
        <v>-2.0000000000002238E-3</v>
      </c>
      <c r="K143" s="26">
        <f>'Clean Swap Data'!I115-'Clean Swap Data'!I114</f>
        <v>-3.0000000000001137E-3</v>
      </c>
      <c r="L143" s="26">
        <f>'Clean Swap Data'!J115-'Clean Swap Data'!J114</f>
        <v>-2.0000000000002238E-3</v>
      </c>
      <c r="M143" s="26">
        <f>'Clean Swap Data'!K115-'Clean Swap Data'!K114</f>
        <v>-4.9999999999998934E-3</v>
      </c>
      <c r="O143" s="23">
        <f ca="1"/>
        <v>-6.767519227748188E-3</v>
      </c>
      <c r="P143" s="23">
        <f ca="1"/>
        <v>2.5638280531636816E-4</v>
      </c>
      <c r="Q143" s="23">
        <f ca="1"/>
        <v>-8.2345393810312143E-3</v>
      </c>
      <c r="S143" s="27">
        <f t="shared" si="22"/>
        <v>-4.9999999999998934E-3</v>
      </c>
      <c r="T143" s="27">
        <f t="shared" si="23"/>
        <v>3.0000000000001137E-3</v>
      </c>
      <c r="U143" s="23">
        <f t="shared" si="24"/>
        <v>-1.499999999999968E-2</v>
      </c>
    </row>
    <row r="144" spans="3:21" x14ac:dyDescent="0.2">
      <c r="C144" s="17">
        <f>'Clean Swap Data'!A116</f>
        <v>43367</v>
      </c>
      <c r="D144" s="26">
        <f>'Clean Swap Data'!B116-'Clean Swap Data'!B115</f>
        <v>-9.9999999999988987E-4</v>
      </c>
      <c r="E144" s="26">
        <f>'Clean Swap Data'!C116-'Clean Swap Data'!C115</f>
        <v>-7.0000000000001172E-3</v>
      </c>
      <c r="F144" s="26">
        <f>'Clean Swap Data'!D116-'Clean Swap Data'!D115</f>
        <v>-5.9999999999997833E-3</v>
      </c>
      <c r="G144" s="26">
        <f>'Clean Swap Data'!E116-'Clean Swap Data'!E115</f>
        <v>-4.0000000000000036E-3</v>
      </c>
      <c r="H144" s="26">
        <f>'Clean Swap Data'!F116-'Clean Swap Data'!F115</f>
        <v>-3.0000000000001137E-3</v>
      </c>
      <c r="I144" s="26">
        <f>'Clean Swap Data'!G116-'Clean Swap Data'!G115</f>
        <v>-2.0000000000002238E-3</v>
      </c>
      <c r="J144" s="26">
        <f>'Clean Swap Data'!H116-'Clean Swap Data'!H115</f>
        <v>-4.0000000000000036E-3</v>
      </c>
      <c r="K144" s="26">
        <f>'Clean Swap Data'!I116-'Clean Swap Data'!I115</f>
        <v>-4.0000000000000036E-3</v>
      </c>
      <c r="L144" s="26">
        <f>'Clean Swap Data'!J116-'Clean Swap Data'!J115</f>
        <v>-4.0000000000000036E-3</v>
      </c>
      <c r="M144" s="26">
        <f>'Clean Swap Data'!K116-'Clean Swap Data'!K115</f>
        <v>-4.0000000000000036E-3</v>
      </c>
      <c r="O144" s="23">
        <f ca="1"/>
        <v>-1.2411841464366E-2</v>
      </c>
      <c r="P144" s="23">
        <f ca="1"/>
        <v>2.5193574589217962E-3</v>
      </c>
      <c r="Q144" s="23">
        <f ca="1"/>
        <v>1.572569542724239E-3</v>
      </c>
      <c r="S144" s="27">
        <f t="shared" si="22"/>
        <v>-4.0000000000000036E-3</v>
      </c>
      <c r="T144" s="27">
        <f t="shared" si="23"/>
        <v>-3.0000000000001137E-3</v>
      </c>
      <c r="U144" s="23">
        <f t="shared" si="24"/>
        <v>6.9999999999996732E-3</v>
      </c>
    </row>
    <row r="145" spans="3:21" x14ac:dyDescent="0.2">
      <c r="C145" s="17">
        <f>'Clean Swap Data'!A117</f>
        <v>43368</v>
      </c>
      <c r="D145" s="26">
        <f>'Clean Swap Data'!B117-'Clean Swap Data'!B116</f>
        <v>1.7999999999999794E-2</v>
      </c>
      <c r="E145" s="26">
        <f>'Clean Swap Data'!C117-'Clean Swap Data'!C116</f>
        <v>2.9999999999999805E-2</v>
      </c>
      <c r="F145" s="26">
        <f>'Clean Swap Data'!D117-'Clean Swap Data'!D116</f>
        <v>3.3999999999999808E-2</v>
      </c>
      <c r="G145" s="26">
        <f>'Clean Swap Data'!E117-'Clean Swap Data'!E116</f>
        <v>3.6999999999999922E-2</v>
      </c>
      <c r="H145" s="26">
        <f>'Clean Swap Data'!F117-'Clean Swap Data'!F116</f>
        <v>3.8000000000000256E-2</v>
      </c>
      <c r="I145" s="26">
        <f>'Clean Swap Data'!G117-'Clean Swap Data'!G116</f>
        <v>3.7000000000000366E-2</v>
      </c>
      <c r="J145" s="26">
        <f>'Clean Swap Data'!H117-'Clean Swap Data'!H116</f>
        <v>3.8000000000000256E-2</v>
      </c>
      <c r="K145" s="26">
        <f>'Clean Swap Data'!I117-'Clean Swap Data'!I116</f>
        <v>3.6999999999999922E-2</v>
      </c>
      <c r="L145" s="26">
        <f>'Clean Swap Data'!J117-'Clean Swap Data'!J116</f>
        <v>3.6999999999999922E-2</v>
      </c>
      <c r="M145" s="26">
        <f>'Clean Swap Data'!K117-'Clean Swap Data'!K116</f>
        <v>3.6999999999999922E-2</v>
      </c>
      <c r="O145" s="23">
        <f ca="1"/>
        <v>0.1099412220938607</v>
      </c>
      <c r="P145" s="23">
        <f ca="1"/>
        <v>-2.6319565168375723E-3</v>
      </c>
      <c r="Q145" s="23">
        <f ca="1"/>
        <v>4.1304586166589583E-3</v>
      </c>
      <c r="S145" s="27">
        <f t="shared" si="22"/>
        <v>3.6999999999999922E-2</v>
      </c>
      <c r="T145" s="27">
        <f t="shared" si="23"/>
        <v>1.9000000000000128E-2</v>
      </c>
      <c r="U145" s="23">
        <f t="shared" si="24"/>
        <v>-1.2999999999999901E-2</v>
      </c>
    </row>
    <row r="146" spans="3:21" x14ac:dyDescent="0.2">
      <c r="C146" s="17">
        <f>'Clean Swap Data'!A118</f>
        <v>43370</v>
      </c>
      <c r="D146" s="26">
        <f>'Clean Swap Data'!B118-'Clean Swap Data'!B117</f>
        <v>3.0000000000001137E-3</v>
      </c>
      <c r="E146" s="26">
        <f>'Clean Swap Data'!C118-'Clean Swap Data'!C117</f>
        <v>-8.0000000000000071E-3</v>
      </c>
      <c r="F146" s="26">
        <f>'Clean Swap Data'!D118-'Clean Swap Data'!D117</f>
        <v>-1.499999999999968E-2</v>
      </c>
      <c r="G146" s="26">
        <f>'Clean Swap Data'!E118-'Clean Swap Data'!E117</f>
        <v>-2.2999999999999687E-2</v>
      </c>
      <c r="H146" s="26">
        <f>'Clean Swap Data'!F118-'Clean Swap Data'!F117</f>
        <v>-2.8999999999999915E-2</v>
      </c>
      <c r="I146" s="26">
        <f>'Clean Swap Data'!G118-'Clean Swap Data'!G117</f>
        <v>-3.0000000000000249E-2</v>
      </c>
      <c r="J146" s="26">
        <f>'Clean Swap Data'!H118-'Clean Swap Data'!H117</f>
        <v>-3.2000000000000028E-2</v>
      </c>
      <c r="K146" s="26">
        <f>'Clean Swap Data'!I118-'Clean Swap Data'!I117</f>
        <v>-3.2999999999999918E-2</v>
      </c>
      <c r="L146" s="26">
        <f>'Clean Swap Data'!J118-'Clean Swap Data'!J117</f>
        <v>-3.3999999999999808E-2</v>
      </c>
      <c r="M146" s="26">
        <f>'Clean Swap Data'!K118-'Clean Swap Data'!K117</f>
        <v>-3.6000000000000032E-2</v>
      </c>
      <c r="O146" s="23">
        <f ca="1"/>
        <v>-8.0498124079363506E-2</v>
      </c>
      <c r="P146" s="23">
        <f ca="1"/>
        <v>-2.5216429694054666E-2</v>
      </c>
      <c r="Q146" s="23">
        <f ca="1"/>
        <v>2.6842340715104406E-4</v>
      </c>
      <c r="S146" s="27">
        <f t="shared" si="22"/>
        <v>-3.6000000000000032E-2</v>
      </c>
      <c r="T146" s="27">
        <f t="shared" si="23"/>
        <v>-3.9000000000000146E-2</v>
      </c>
      <c r="U146" s="23">
        <f t="shared" si="24"/>
        <v>-3.0000000000005578E-3</v>
      </c>
    </row>
    <row r="147" spans="3:21" x14ac:dyDescent="0.2">
      <c r="C147" s="17">
        <f>'Clean Swap Data'!A119</f>
        <v>43371</v>
      </c>
      <c r="D147" s="26">
        <f>'Clean Swap Data'!B119-'Clean Swap Data'!B118</f>
        <v>-4.0000000000000036E-3</v>
      </c>
      <c r="E147" s="26">
        <f>'Clean Swap Data'!C119-'Clean Swap Data'!C118</f>
        <v>-1.7999999999999794E-2</v>
      </c>
      <c r="F147" s="26">
        <f>'Clean Swap Data'!D119-'Clean Swap Data'!D118</f>
        <v>-2.3000000000000131E-2</v>
      </c>
      <c r="G147" s="26">
        <f>'Clean Swap Data'!E119-'Clean Swap Data'!E118</f>
        <v>-2.2000000000000242E-2</v>
      </c>
      <c r="H147" s="26">
        <f>'Clean Swap Data'!F119-'Clean Swap Data'!F118</f>
        <v>-2.1000000000000352E-2</v>
      </c>
      <c r="I147" s="26">
        <f>'Clean Swap Data'!G119-'Clean Swap Data'!G118</f>
        <v>-2.0999999999999908E-2</v>
      </c>
      <c r="J147" s="26">
        <f>'Clean Swap Data'!H119-'Clean Swap Data'!H118</f>
        <v>-2.0000000000000018E-2</v>
      </c>
      <c r="K147" s="26">
        <f>'Clean Swap Data'!I119-'Clean Swap Data'!I118</f>
        <v>-1.7999999999999794E-2</v>
      </c>
      <c r="L147" s="26">
        <f>'Clean Swap Data'!J119-'Clean Swap Data'!J118</f>
        <v>-1.8000000000000238E-2</v>
      </c>
      <c r="M147" s="26">
        <f>'Clean Swap Data'!K119-'Clean Swap Data'!K118</f>
        <v>-1.6000000000000014E-2</v>
      </c>
      <c r="O147" s="23">
        <f ca="1"/>
        <v>-5.8972040025130568E-2</v>
      </c>
      <c r="P147" s="23">
        <f ca="1"/>
        <v>4.1598532731292083E-3</v>
      </c>
      <c r="Q147" s="23">
        <f ca="1"/>
        <v>6.2753295882027899E-3</v>
      </c>
      <c r="S147" s="27">
        <f t="shared" si="22"/>
        <v>-1.6000000000000014E-2</v>
      </c>
      <c r="T147" s="27">
        <f t="shared" si="23"/>
        <v>-1.2000000000000011E-2</v>
      </c>
      <c r="U147" s="23">
        <f t="shared" si="24"/>
        <v>2.6000000000000245E-2</v>
      </c>
    </row>
    <row r="148" spans="3:21" x14ac:dyDescent="0.2">
      <c r="C148" s="17">
        <f>'Clean Swap Data'!A120</f>
        <v>43374</v>
      </c>
      <c r="D148" s="26">
        <f>'Clean Swap Data'!B120-'Clean Swap Data'!B119</f>
        <v>9.9999999999988987E-4</v>
      </c>
      <c r="E148" s="26">
        <f>'Clean Swap Data'!C120-'Clean Swap Data'!C119</f>
        <v>4.9999999999998934E-3</v>
      </c>
      <c r="F148" s="26">
        <f>'Clean Swap Data'!D120-'Clean Swap Data'!D119</f>
        <v>7.0000000000001172E-3</v>
      </c>
      <c r="G148" s="26">
        <f>'Clean Swap Data'!E120-'Clean Swap Data'!E119</f>
        <v>8.0000000000000071E-3</v>
      </c>
      <c r="H148" s="26">
        <f>'Clean Swap Data'!F120-'Clean Swap Data'!F119</f>
        <v>9.0000000000003411E-3</v>
      </c>
      <c r="I148" s="26">
        <f>'Clean Swap Data'!G120-'Clean Swap Data'!G119</f>
        <v>9.9999999999997868E-3</v>
      </c>
      <c r="J148" s="26">
        <f>'Clean Swap Data'!H120-'Clean Swap Data'!H119</f>
        <v>1.2000000000000011E-2</v>
      </c>
      <c r="K148" s="26">
        <f>'Clean Swap Data'!I120-'Clean Swap Data'!I119</f>
        <v>1.2000000000000011E-2</v>
      </c>
      <c r="L148" s="26">
        <f>'Clean Swap Data'!J120-'Clean Swap Data'!J119</f>
        <v>1.3000000000000345E-2</v>
      </c>
      <c r="M148" s="26">
        <f>'Clean Swap Data'!K120-'Clean Swap Data'!K119</f>
        <v>1.4000000000000234E-2</v>
      </c>
      <c r="O148" s="23">
        <f ca="1"/>
        <v>3.0255242728516145E-2</v>
      </c>
      <c r="P148" s="23">
        <f ca="1"/>
        <v>7.2639164710098809E-3</v>
      </c>
      <c r="Q148" s="23">
        <f ca="1"/>
        <v>1.4508621557832728E-3</v>
      </c>
      <c r="S148" s="27">
        <f t="shared" si="22"/>
        <v>1.4000000000000234E-2</v>
      </c>
      <c r="T148" s="27">
        <f t="shared" si="23"/>
        <v>1.3000000000000345E-2</v>
      </c>
      <c r="U148" s="23">
        <f t="shared" si="24"/>
        <v>9.9999999999988987E-4</v>
      </c>
    </row>
    <row r="149" spans="3:21" x14ac:dyDescent="0.2">
      <c r="C149" s="17">
        <f>'Clean Swap Data'!A121</f>
        <v>43375</v>
      </c>
      <c r="D149" s="26">
        <f>'Clean Swap Data'!B121-'Clean Swap Data'!B120</f>
        <v>0</v>
      </c>
      <c r="E149" s="26">
        <f>'Clean Swap Data'!C121-'Clean Swap Data'!C120</f>
        <v>-8.999999999999897E-3</v>
      </c>
      <c r="F149" s="26">
        <f>'Clean Swap Data'!D121-'Clean Swap Data'!D120</f>
        <v>-1.2000000000000011E-2</v>
      </c>
      <c r="G149" s="26">
        <f>'Clean Swap Data'!E121-'Clean Swap Data'!E120</f>
        <v>-1.6000000000000014E-2</v>
      </c>
      <c r="H149" s="26">
        <f>'Clean Swap Data'!F121-'Clean Swap Data'!F120</f>
        <v>-1.8000000000000238E-2</v>
      </c>
      <c r="I149" s="26">
        <f>'Clean Swap Data'!G121-'Clean Swap Data'!G120</f>
        <v>-1.8999999999999684E-2</v>
      </c>
      <c r="J149" s="26">
        <f>'Clean Swap Data'!H121-'Clean Swap Data'!H120</f>
        <v>-2.0000000000000018E-2</v>
      </c>
      <c r="K149" s="26">
        <f>'Clean Swap Data'!I121-'Clean Swap Data'!I120</f>
        <v>-2.0000000000000018E-2</v>
      </c>
      <c r="L149" s="26">
        <f>'Clean Swap Data'!J121-'Clean Swap Data'!J120</f>
        <v>-2.0000000000000018E-2</v>
      </c>
      <c r="M149" s="26">
        <f>'Clean Swap Data'!K121-'Clean Swap Data'!K120</f>
        <v>-2.0999999999999908E-2</v>
      </c>
      <c r="O149" s="23">
        <f ca="1"/>
        <v>-5.1890139201447326E-2</v>
      </c>
      <c r="P149" s="23">
        <f ca="1"/>
        <v>-1.0508280050465489E-2</v>
      </c>
      <c r="Q149" s="23">
        <f ca="1"/>
        <v>1.1566193613924691E-3</v>
      </c>
      <c r="S149" s="27">
        <f t="shared" si="22"/>
        <v>-2.0999999999999908E-2</v>
      </c>
      <c r="T149" s="27">
        <f t="shared" si="23"/>
        <v>-2.0999999999999908E-2</v>
      </c>
      <c r="U149" s="23">
        <f t="shared" si="24"/>
        <v>3.0000000000001137E-3</v>
      </c>
    </row>
    <row r="150" spans="3:21" x14ac:dyDescent="0.2">
      <c r="C150" s="17">
        <f>'Clean Swap Data'!A122</f>
        <v>43376</v>
      </c>
      <c r="D150" s="26">
        <f>'Clean Swap Data'!B122-'Clean Swap Data'!B121</f>
        <v>1.5000000000000124E-2</v>
      </c>
      <c r="E150" s="26">
        <f>'Clean Swap Data'!C122-'Clean Swap Data'!C121</f>
        <v>2.8999999999999915E-2</v>
      </c>
      <c r="F150" s="26">
        <f>'Clean Swap Data'!D122-'Clean Swap Data'!D121</f>
        <v>3.6000000000000032E-2</v>
      </c>
      <c r="G150" s="26">
        <f>'Clean Swap Data'!E122-'Clean Swap Data'!E121</f>
        <v>4.0000000000000036E-2</v>
      </c>
      <c r="H150" s="26">
        <f>'Clean Swap Data'!F122-'Clean Swap Data'!F121</f>
        <v>4.2000000000000259E-2</v>
      </c>
      <c r="I150" s="26">
        <f>'Clean Swap Data'!G122-'Clean Swap Data'!G121</f>
        <v>4.4000000000000039E-2</v>
      </c>
      <c r="J150" s="26">
        <f>'Clean Swap Data'!H122-'Clean Swap Data'!H121</f>
        <v>4.4999999999999929E-2</v>
      </c>
      <c r="K150" s="26">
        <f>'Clean Swap Data'!I122-'Clean Swap Data'!I121</f>
        <v>4.4999999999999929E-2</v>
      </c>
      <c r="L150" s="26">
        <f>'Clean Swap Data'!J122-'Clean Swap Data'!J121</f>
        <v>4.4999999999999929E-2</v>
      </c>
      <c r="M150" s="26">
        <f>'Clean Swap Data'!K122-'Clean Swap Data'!K121</f>
        <v>4.5999999999999819E-2</v>
      </c>
      <c r="O150" s="23">
        <f ca="1"/>
        <v>0.12562493413041498</v>
      </c>
      <c r="P150" s="23">
        <f ca="1"/>
        <v>7.2422000793363802E-3</v>
      </c>
      <c r="Q150" s="23">
        <f ca="1"/>
        <v>4.2419103338724807E-3</v>
      </c>
      <c r="S150" s="27">
        <f t="shared" si="22"/>
        <v>4.5999999999999819E-2</v>
      </c>
      <c r="T150" s="27">
        <f t="shared" si="23"/>
        <v>3.0999999999999694E-2</v>
      </c>
      <c r="U150" s="23">
        <f t="shared" si="24"/>
        <v>-1.1000000000000121E-2</v>
      </c>
    </row>
    <row r="151" spans="3:21" x14ac:dyDescent="0.2">
      <c r="C151" s="17">
        <f>'Clean Swap Data'!A123</f>
        <v>43377</v>
      </c>
      <c r="D151" s="26">
        <f>'Clean Swap Data'!B123-'Clean Swap Data'!B122</f>
        <v>1.6000000000000014E-2</v>
      </c>
      <c r="E151" s="26">
        <f>'Clean Swap Data'!C123-'Clean Swap Data'!C122</f>
        <v>4.1999999999999815E-2</v>
      </c>
      <c r="F151" s="26">
        <f>'Clean Swap Data'!D123-'Clean Swap Data'!D122</f>
        <v>5.5999999999999606E-2</v>
      </c>
      <c r="G151" s="26">
        <f>'Clean Swap Data'!E123-'Clean Swap Data'!E122</f>
        <v>6.3000000000000167E-2</v>
      </c>
      <c r="H151" s="26">
        <f>'Clean Swap Data'!F123-'Clean Swap Data'!F122</f>
        <v>6.999999999999984E-2</v>
      </c>
      <c r="I151" s="26">
        <f>'Clean Swap Data'!G123-'Clean Swap Data'!G122</f>
        <v>7.6999999999999957E-2</v>
      </c>
      <c r="J151" s="26">
        <f>'Clean Swap Data'!H123-'Clean Swap Data'!H122</f>
        <v>8.1999999999999851E-2</v>
      </c>
      <c r="K151" s="26">
        <f>'Clean Swap Data'!I123-'Clean Swap Data'!I122</f>
        <v>8.6999999999999744E-2</v>
      </c>
      <c r="L151" s="26">
        <f>'Clean Swap Data'!J123-'Clean Swap Data'!J122</f>
        <v>9.0999999999999748E-2</v>
      </c>
      <c r="M151" s="26">
        <f>'Clean Swap Data'!K123-'Clean Swap Data'!K122</f>
        <v>9.2999999999999972E-2</v>
      </c>
      <c r="O151" s="23">
        <f ca="1"/>
        <v>0.22278631336163274</v>
      </c>
      <c r="P151" s="23">
        <f ca="1"/>
        <v>3.743599758749154E-2</v>
      </c>
      <c r="Q151" s="23">
        <f ca="1"/>
        <v>1.0547838565753044E-2</v>
      </c>
      <c r="S151" s="27">
        <f t="shared" si="22"/>
        <v>9.2999999999999972E-2</v>
      </c>
      <c r="T151" s="27">
        <f t="shared" si="23"/>
        <v>7.6999999999999957E-2</v>
      </c>
      <c r="U151" s="23">
        <f t="shared" si="24"/>
        <v>-2.9999999999992255E-3</v>
      </c>
    </row>
    <row r="152" spans="3:21" x14ac:dyDescent="0.2">
      <c r="C152" s="17">
        <f>'Clean Swap Data'!A124</f>
        <v>43378</v>
      </c>
      <c r="D152" s="26">
        <f>'Clean Swap Data'!B124-'Clean Swap Data'!B123</f>
        <v>-4.9999999999998934E-3</v>
      </c>
      <c r="E152" s="26">
        <f>'Clean Swap Data'!C124-'Clean Swap Data'!C123</f>
        <v>1.6000000000000014E-2</v>
      </c>
      <c r="F152" s="26">
        <f>'Clean Swap Data'!D124-'Clean Swap Data'!D123</f>
        <v>2.0000000000000018E-2</v>
      </c>
      <c r="G152" s="26">
        <f>'Clean Swap Data'!E124-'Clean Swap Data'!E123</f>
        <v>2.0999999999999908E-2</v>
      </c>
      <c r="H152" s="26">
        <f>'Clean Swap Data'!F124-'Clean Swap Data'!F123</f>
        <v>2.1999999999999797E-2</v>
      </c>
      <c r="I152" s="26">
        <f>'Clean Swap Data'!G124-'Clean Swap Data'!G123</f>
        <v>2.1999999999999797E-2</v>
      </c>
      <c r="J152" s="26">
        <f>'Clean Swap Data'!H124-'Clean Swap Data'!H123</f>
        <v>2.1000000000000352E-2</v>
      </c>
      <c r="K152" s="26">
        <f>'Clean Swap Data'!I124-'Clean Swap Data'!I123</f>
        <v>2.0000000000000018E-2</v>
      </c>
      <c r="L152" s="26">
        <f>'Clean Swap Data'!J124-'Clean Swap Data'!J123</f>
        <v>2.0000000000000018E-2</v>
      </c>
      <c r="M152" s="26">
        <f>'Clean Swap Data'!K124-'Clean Swap Data'!K123</f>
        <v>2.0000000000000018E-2</v>
      </c>
      <c r="O152" s="23">
        <f ca="1"/>
        <v>5.9805943649889934E-2</v>
      </c>
      <c r="P152" s="23">
        <f ca="1"/>
        <v>5.4677571392144665E-3</v>
      </c>
      <c r="Q152" s="23">
        <f ca="1"/>
        <v>-1.1103270369075133E-2</v>
      </c>
      <c r="S152" s="27">
        <f t="shared" si="22"/>
        <v>2.0000000000000018E-2</v>
      </c>
      <c r="T152" s="27">
        <f t="shared" si="23"/>
        <v>2.4999999999999911E-2</v>
      </c>
      <c r="U152" s="23">
        <f t="shared" si="24"/>
        <v>-2.4999999999999911E-2</v>
      </c>
    </row>
    <row r="153" spans="3:21" x14ac:dyDescent="0.2">
      <c r="C153" s="17">
        <f>'Clean Swap Data'!A125</f>
        <v>43382</v>
      </c>
      <c r="D153" s="26">
        <f>'Clean Swap Data'!B125-'Clean Swap Data'!B124</f>
        <v>1.6000000000000014E-2</v>
      </c>
      <c r="E153" s="26">
        <f>'Clean Swap Data'!C125-'Clean Swap Data'!C124</f>
        <v>2.0000000000002238E-3</v>
      </c>
      <c r="F153" s="26">
        <f>'Clean Swap Data'!D125-'Clean Swap Data'!D124</f>
        <v>-2.9999999999996696E-3</v>
      </c>
      <c r="G153" s="26">
        <f>'Clean Swap Data'!E125-'Clean Swap Data'!E124</f>
        <v>-4.9999999999998934E-3</v>
      </c>
      <c r="H153" s="26">
        <f>'Clean Swap Data'!F125-'Clean Swap Data'!F124</f>
        <v>-6.9999999999996732E-3</v>
      </c>
      <c r="I153" s="26">
        <f>'Clean Swap Data'!G125-'Clean Swap Data'!G124</f>
        <v>-8.0000000000000071E-3</v>
      </c>
      <c r="J153" s="26">
        <f>'Clean Swap Data'!H125-'Clean Swap Data'!H124</f>
        <v>-6.0000000000002274E-3</v>
      </c>
      <c r="K153" s="26">
        <f>'Clean Swap Data'!I125-'Clean Swap Data'!I124</f>
        <v>-4.9999999999998934E-3</v>
      </c>
      <c r="L153" s="26">
        <f>'Clean Swap Data'!J125-'Clean Swap Data'!J124</f>
        <v>-5.9999999999997833E-3</v>
      </c>
      <c r="M153" s="26">
        <f>'Clean Swap Data'!K125-'Clean Swap Data'!K124</f>
        <v>-6.0000000000002274E-3</v>
      </c>
      <c r="O153" s="23">
        <f ca="1"/>
        <v>-1.3167632983277125E-2</v>
      </c>
      <c r="P153" s="23">
        <f ca="1"/>
        <v>-1.3381451282301155E-2</v>
      </c>
      <c r="Q153" s="23">
        <f ca="1"/>
        <v>1.3204527102900109E-2</v>
      </c>
      <c r="S153" s="27">
        <f t="shared" si="22"/>
        <v>-6.0000000000002274E-3</v>
      </c>
      <c r="T153" s="27">
        <f t="shared" si="23"/>
        <v>-2.2000000000000242E-2</v>
      </c>
      <c r="U153" s="23">
        <f t="shared" si="24"/>
        <v>1.5999999999999126E-2</v>
      </c>
    </row>
    <row r="154" spans="3:21" x14ac:dyDescent="0.2">
      <c r="C154" s="17">
        <f>'Clean Swap Data'!A126</f>
        <v>43383</v>
      </c>
      <c r="D154" s="26">
        <f>'Clean Swap Data'!B126-'Clean Swap Data'!B125</f>
        <v>-3.0000000000001137E-3</v>
      </c>
      <c r="E154" s="26">
        <f>'Clean Swap Data'!C126-'Clean Swap Data'!C125</f>
        <v>3.0000000000001137E-3</v>
      </c>
      <c r="F154" s="26">
        <f>'Clean Swap Data'!D126-'Clean Swap Data'!D125</f>
        <v>4.9999999999998934E-3</v>
      </c>
      <c r="G154" s="26">
        <f>'Clean Swap Data'!E126-'Clean Swap Data'!E125</f>
        <v>8.999999999999897E-3</v>
      </c>
      <c r="H154" s="26">
        <f>'Clean Swap Data'!F126-'Clean Swap Data'!F125</f>
        <v>1.0999999999999677E-2</v>
      </c>
      <c r="I154" s="26">
        <f>'Clean Swap Data'!G126-'Clean Swap Data'!G125</f>
        <v>1.2000000000000011E-2</v>
      </c>
      <c r="J154" s="26">
        <f>'Clean Swap Data'!H126-'Clean Swap Data'!H125</f>
        <v>1.2000000000000011E-2</v>
      </c>
      <c r="K154" s="26">
        <f>'Clean Swap Data'!I126-'Clean Swap Data'!I125</f>
        <v>1.2000000000000011E-2</v>
      </c>
      <c r="L154" s="26">
        <f>'Clean Swap Data'!J126-'Clean Swap Data'!J125</f>
        <v>1.399999999999979E-2</v>
      </c>
      <c r="M154" s="26">
        <f>'Clean Swap Data'!K126-'Clean Swap Data'!K125</f>
        <v>1.4000000000000234E-2</v>
      </c>
      <c r="O154" s="23">
        <f ca="1"/>
        <v>3.0654851743458798E-2</v>
      </c>
      <c r="P154" s="23">
        <f ca="1"/>
        <v>1.1085667854547909E-2</v>
      </c>
      <c r="Q154" s="23">
        <f ca="1"/>
        <v>-1.3735171738759855E-3</v>
      </c>
      <c r="S154" s="27">
        <f t="shared" si="22"/>
        <v>1.4000000000000234E-2</v>
      </c>
      <c r="T154" s="27">
        <f t="shared" si="23"/>
        <v>1.7000000000000348E-2</v>
      </c>
      <c r="U154" s="23">
        <f t="shared" si="24"/>
        <v>1.000000000000334E-3</v>
      </c>
    </row>
    <row r="155" spans="3:21" x14ac:dyDescent="0.2">
      <c r="C155" s="17">
        <f>'Clean Swap Data'!A127</f>
        <v>43384</v>
      </c>
      <c r="D155" s="26">
        <f>'Clean Swap Data'!B127-'Clean Swap Data'!B126</f>
        <v>-5.9999999999997833E-3</v>
      </c>
      <c r="E155" s="26">
        <f>'Clean Swap Data'!C127-'Clean Swap Data'!C126</f>
        <v>-2.2000000000000242E-2</v>
      </c>
      <c r="F155" s="26">
        <f>'Clean Swap Data'!D127-'Clean Swap Data'!D126</f>
        <v>-3.3999999999999808E-2</v>
      </c>
      <c r="G155" s="26">
        <f>'Clean Swap Data'!E127-'Clean Swap Data'!E126</f>
        <v>-4.2000000000000259E-2</v>
      </c>
      <c r="H155" s="26">
        <f>'Clean Swap Data'!F127-'Clean Swap Data'!F126</f>
        <v>-4.8000000000000043E-2</v>
      </c>
      <c r="I155" s="26">
        <f>'Clean Swap Data'!G127-'Clean Swap Data'!G126</f>
        <v>-5.2000000000000046E-2</v>
      </c>
      <c r="J155" s="26">
        <f>'Clean Swap Data'!H127-'Clean Swap Data'!H126</f>
        <v>-5.3999999999999826E-2</v>
      </c>
      <c r="K155" s="26">
        <f>'Clean Swap Data'!I127-'Clean Swap Data'!I126</f>
        <v>-5.600000000000005E-2</v>
      </c>
      <c r="L155" s="26">
        <f>'Clean Swap Data'!J127-'Clean Swap Data'!J126</f>
        <v>-5.699999999999994E-2</v>
      </c>
      <c r="M155" s="26">
        <f>'Clean Swap Data'!K127-'Clean Swap Data'!K126</f>
        <v>-5.699999999999994E-2</v>
      </c>
      <c r="O155" s="23">
        <f ca="1"/>
        <v>-0.14214802109943236</v>
      </c>
      <c r="P155" s="23">
        <f ca="1"/>
        <v>-2.7722392014392798E-2</v>
      </c>
      <c r="Q155" s="23">
        <f ca="1"/>
        <v>-3.1432002336536993E-3</v>
      </c>
      <c r="S155" s="27">
        <f t="shared" si="22"/>
        <v>-5.699999999999994E-2</v>
      </c>
      <c r="T155" s="27">
        <f t="shared" si="23"/>
        <v>-5.1000000000000156E-2</v>
      </c>
      <c r="U155" s="23">
        <f t="shared" si="24"/>
        <v>4.9999999999998934E-3</v>
      </c>
    </row>
    <row r="156" spans="3:21" x14ac:dyDescent="0.2">
      <c r="C156" s="17">
        <f>'Clean Swap Data'!A128</f>
        <v>43385</v>
      </c>
      <c r="D156" s="26">
        <f>'Clean Swap Data'!B128-'Clean Swap Data'!B127</f>
        <v>2.9999999999996696E-3</v>
      </c>
      <c r="E156" s="26">
        <f>'Clean Swap Data'!C128-'Clean Swap Data'!C127</f>
        <v>-3.0000000000001137E-3</v>
      </c>
      <c r="F156" s="26">
        <f>'Clean Swap Data'!D128-'Clean Swap Data'!D127</f>
        <v>-1.000000000000334E-3</v>
      </c>
      <c r="G156" s="26">
        <f>'Clean Swap Data'!E128-'Clean Swap Data'!E127</f>
        <v>-1.9999999999997797E-3</v>
      </c>
      <c r="H156" s="26">
        <f>'Clean Swap Data'!F128-'Clean Swap Data'!F127</f>
        <v>-9.9999999999988987E-4</v>
      </c>
      <c r="I156" s="26">
        <f>'Clean Swap Data'!G128-'Clean Swap Data'!G127</f>
        <v>-9.9999999999988987E-4</v>
      </c>
      <c r="J156" s="26">
        <f>'Clean Swap Data'!H128-'Clean Swap Data'!H127</f>
        <v>-3.0000000000001137E-3</v>
      </c>
      <c r="K156" s="26">
        <f>'Clean Swap Data'!I128-'Clean Swap Data'!I127</f>
        <v>-1.9999999999997797E-3</v>
      </c>
      <c r="L156" s="26">
        <f>'Clean Swap Data'!J128-'Clean Swap Data'!J127</f>
        <v>-3.0000000000001137E-3</v>
      </c>
      <c r="M156" s="26">
        <f>'Clean Swap Data'!K128-'Clean Swap Data'!K127</f>
        <v>-3.0000000000001137E-3</v>
      </c>
      <c r="O156" s="23">
        <f ca="1"/>
        <v>-5.8653460487782857E-3</v>
      </c>
      <c r="P156" s="23">
        <f ca="1"/>
        <v>-2.3734038733883231E-3</v>
      </c>
      <c r="Q156" s="23">
        <f ca="1"/>
        <v>2.586419949092659E-3</v>
      </c>
      <c r="S156" s="27">
        <f t="shared" si="22"/>
        <v>-3.0000000000001137E-3</v>
      </c>
      <c r="T156" s="27">
        <f t="shared" si="23"/>
        <v>-5.9999999999997833E-3</v>
      </c>
      <c r="U156" s="23">
        <f t="shared" si="24"/>
        <v>2.0000000000002238E-3</v>
      </c>
    </row>
    <row r="157" spans="3:21" x14ac:dyDescent="0.2">
      <c r="C157" s="17">
        <f>'Clean Swap Data'!A129</f>
        <v>43388</v>
      </c>
      <c r="D157" s="26">
        <f>'Clean Swap Data'!B129-'Clean Swap Data'!B128</f>
        <v>2.2000000000000242E-2</v>
      </c>
      <c r="E157" s="26">
        <f>'Clean Swap Data'!C129-'Clean Swap Data'!C128</f>
        <v>3.0000000000001137E-3</v>
      </c>
      <c r="F157" s="26">
        <f>'Clean Swap Data'!D129-'Clean Swap Data'!D128</f>
        <v>-4.0000000000000036E-3</v>
      </c>
      <c r="G157" s="26">
        <f>'Clean Swap Data'!E129-'Clean Swap Data'!E128</f>
        <v>-6.0000000000002274E-3</v>
      </c>
      <c r="H157" s="26">
        <f>'Clean Swap Data'!F129-'Clean Swap Data'!F128</f>
        <v>-8.999999999999897E-3</v>
      </c>
      <c r="I157" s="26">
        <f>'Clean Swap Data'!G129-'Clean Swap Data'!G128</f>
        <v>-1.0000000000000231E-2</v>
      </c>
      <c r="J157" s="26">
        <f>'Clean Swap Data'!H129-'Clean Swap Data'!H128</f>
        <v>-1.0000000000000231E-2</v>
      </c>
      <c r="K157" s="26">
        <f>'Clean Swap Data'!I129-'Clean Swap Data'!I128</f>
        <v>-1.0000000000000231E-2</v>
      </c>
      <c r="L157" s="26">
        <f>'Clean Swap Data'!J129-'Clean Swap Data'!J128</f>
        <v>-1.0999999999999677E-2</v>
      </c>
      <c r="M157" s="26">
        <f>'Clean Swap Data'!K129-'Clean Swap Data'!K128</f>
        <v>-1.1000000000000121E-2</v>
      </c>
      <c r="O157" s="23">
        <f ca="1"/>
        <v>-2.0673552979820316E-2</v>
      </c>
      <c r="P157" s="23">
        <f ca="1"/>
        <v>-2.1687685234376697E-2</v>
      </c>
      <c r="Q157" s="23">
        <f ca="1"/>
        <v>1.6240416598187635E-2</v>
      </c>
      <c r="S157" s="27">
        <f t="shared" si="22"/>
        <v>-1.1000000000000121E-2</v>
      </c>
      <c r="T157" s="27">
        <f t="shared" si="23"/>
        <v>-3.3000000000000362E-2</v>
      </c>
      <c r="U157" s="23">
        <f t="shared" si="24"/>
        <v>1.9000000000000128E-2</v>
      </c>
    </row>
    <row r="158" spans="3:21" x14ac:dyDescent="0.2">
      <c r="C158" s="17">
        <f>'Clean Swap Data'!A130</f>
        <v>43389</v>
      </c>
      <c r="D158" s="26">
        <f>'Clean Swap Data'!B130-'Clean Swap Data'!B129</f>
        <v>-4.0000000000000036E-3</v>
      </c>
      <c r="E158" s="26">
        <f>'Clean Swap Data'!C130-'Clean Swap Data'!C129</f>
        <v>1.6000000000000014E-2</v>
      </c>
      <c r="F158" s="26">
        <f>'Clean Swap Data'!D130-'Clean Swap Data'!D129</f>
        <v>2.2000000000000242E-2</v>
      </c>
      <c r="G158" s="26">
        <f>'Clean Swap Data'!E130-'Clean Swap Data'!E129</f>
        <v>2.5000000000000355E-2</v>
      </c>
      <c r="H158" s="26">
        <f>'Clean Swap Data'!F130-'Clean Swap Data'!F129</f>
        <v>2.5999999999999801E-2</v>
      </c>
      <c r="I158" s="26">
        <f>'Clean Swap Data'!G130-'Clean Swap Data'!G129</f>
        <v>2.7000000000000135E-2</v>
      </c>
      <c r="J158" s="26">
        <f>'Clean Swap Data'!H130-'Clean Swap Data'!H129</f>
        <v>2.8000000000000025E-2</v>
      </c>
      <c r="K158" s="26">
        <f>'Clean Swap Data'!I130-'Clean Swap Data'!I129</f>
        <v>2.7000000000000135E-2</v>
      </c>
      <c r="L158" s="26">
        <f>'Clean Swap Data'!J130-'Clean Swap Data'!J129</f>
        <v>2.8000000000000025E-2</v>
      </c>
      <c r="M158" s="26">
        <f>'Clean Swap Data'!K130-'Clean Swap Data'!K129</f>
        <v>2.8000000000000025E-2</v>
      </c>
      <c r="O158" s="23">
        <f ca="1"/>
        <v>7.5206981823886854E-2</v>
      </c>
      <c r="P158" s="23">
        <f ca="1"/>
        <v>1.1877030015601328E-2</v>
      </c>
      <c r="Q158" s="23">
        <f ca="1"/>
        <v>-8.2928306486504122E-3</v>
      </c>
      <c r="S158" s="27">
        <f t="shared" si="22"/>
        <v>2.8000000000000025E-2</v>
      </c>
      <c r="T158" s="27">
        <f t="shared" si="23"/>
        <v>3.2000000000000028E-2</v>
      </c>
      <c r="U158" s="23">
        <f t="shared" si="24"/>
        <v>-2.0000000000000462E-2</v>
      </c>
    </row>
    <row r="159" spans="3:21" x14ac:dyDescent="0.2">
      <c r="C159" s="17">
        <f>'Clean Swap Data'!A131</f>
        <v>43390</v>
      </c>
      <c r="D159" s="26">
        <f>'Clean Swap Data'!B131-'Clean Swap Data'!B130</f>
        <v>1.1000000000000121E-2</v>
      </c>
      <c r="E159" s="26">
        <f>'Clean Swap Data'!C131-'Clean Swap Data'!C130</f>
        <v>-8.0000000000000071E-3</v>
      </c>
      <c r="F159" s="26">
        <f>'Clean Swap Data'!D131-'Clean Swap Data'!D130</f>
        <v>-7.0000000000001172E-3</v>
      </c>
      <c r="G159" s="26">
        <f>'Clean Swap Data'!E131-'Clean Swap Data'!E130</f>
        <v>-1.0000000000000231E-2</v>
      </c>
      <c r="H159" s="26">
        <f>'Clean Swap Data'!F131-'Clean Swap Data'!F130</f>
        <v>-9.9999999999997868E-3</v>
      </c>
      <c r="I159" s="26">
        <f>'Clean Swap Data'!G131-'Clean Swap Data'!G130</f>
        <v>-1.1000000000000121E-2</v>
      </c>
      <c r="J159" s="26">
        <f>'Clean Swap Data'!H131-'Clean Swap Data'!H130</f>
        <v>-1.2000000000000011E-2</v>
      </c>
      <c r="K159" s="26">
        <f>'Clean Swap Data'!I131-'Clean Swap Data'!I130</f>
        <v>-1.2000000000000011E-2</v>
      </c>
      <c r="L159" s="26">
        <f>'Clean Swap Data'!J131-'Clean Swap Data'!J130</f>
        <v>-1.2000000000000011E-2</v>
      </c>
      <c r="M159" s="26">
        <f>'Clean Swap Data'!K131-'Clean Swap Data'!K130</f>
        <v>-1.2000000000000011E-2</v>
      </c>
      <c r="O159" s="23">
        <f ca="1"/>
        <v>-2.9970742235324213E-2</v>
      </c>
      <c r="P159" s="23">
        <f ca="1"/>
        <v>-1.0433073632426904E-2</v>
      </c>
      <c r="Q159" s="23">
        <f ca="1"/>
        <v>1.0605834103336329E-2</v>
      </c>
      <c r="S159" s="27">
        <f t="shared" si="22"/>
        <v>-1.2000000000000011E-2</v>
      </c>
      <c r="T159" s="27">
        <f t="shared" si="23"/>
        <v>-2.3000000000000131E-2</v>
      </c>
      <c r="U159" s="23">
        <f t="shared" si="24"/>
        <v>1.3000000000000345E-2</v>
      </c>
    </row>
    <row r="160" spans="3:21" x14ac:dyDescent="0.2">
      <c r="C160" s="17">
        <f>'Clean Swap Data'!A132</f>
        <v>43391</v>
      </c>
      <c r="D160" s="26">
        <f>'Clean Swap Data'!B132-'Clean Swap Data'!B131</f>
        <v>3.4999999999999698E-2</v>
      </c>
      <c r="E160" s="26">
        <f>'Clean Swap Data'!C132-'Clean Swap Data'!C131</f>
        <v>6.0999999999999943E-2</v>
      </c>
      <c r="F160" s="26">
        <f>'Clean Swap Data'!D132-'Clean Swap Data'!D131</f>
        <v>6.0000000000000053E-2</v>
      </c>
      <c r="G160" s="26">
        <f>'Clean Swap Data'!E132-'Clean Swap Data'!E131</f>
        <v>6.0000000000000053E-2</v>
      </c>
      <c r="H160" s="26">
        <f>'Clean Swap Data'!F132-'Clean Swap Data'!F131</f>
        <v>5.7999999999999829E-2</v>
      </c>
      <c r="I160" s="26">
        <f>'Clean Swap Data'!G132-'Clean Swap Data'!G131</f>
        <v>5.7000000000000384E-2</v>
      </c>
      <c r="J160" s="26">
        <f>'Clean Swap Data'!H132-'Clean Swap Data'!H131</f>
        <v>5.7000000000000384E-2</v>
      </c>
      <c r="K160" s="26">
        <f>'Clean Swap Data'!I132-'Clean Swap Data'!I131</f>
        <v>5.699999999999994E-2</v>
      </c>
      <c r="L160" s="26">
        <f>'Clean Swap Data'!J132-'Clean Swap Data'!J131</f>
        <v>5.5999999999999606E-2</v>
      </c>
      <c r="M160" s="26">
        <f>'Clean Swap Data'!K132-'Clean Swap Data'!K131</f>
        <v>5.500000000000016E-2</v>
      </c>
      <c r="O160" s="23">
        <f ca="1"/>
        <v>0.1759037285035587</v>
      </c>
      <c r="P160" s="23">
        <f ca="1"/>
        <v>-1.9507279839465812E-2</v>
      </c>
      <c r="Q160" s="23">
        <f ca="1"/>
        <v>5.8614933484333817E-3</v>
      </c>
      <c r="S160" s="27">
        <f t="shared" si="22"/>
        <v>5.500000000000016E-2</v>
      </c>
      <c r="T160" s="27">
        <f t="shared" si="23"/>
        <v>2.0000000000000462E-2</v>
      </c>
      <c r="U160" s="23">
        <f t="shared" si="24"/>
        <v>-3.0000000000000249E-2</v>
      </c>
    </row>
    <row r="161" spans="3:21" x14ac:dyDescent="0.2">
      <c r="C161" s="17">
        <f>'Clean Swap Data'!A133</f>
        <v>43392</v>
      </c>
      <c r="D161" s="26">
        <f>'Clean Swap Data'!B133-'Clean Swap Data'!B132</f>
        <v>1.2000000000000011E-2</v>
      </c>
      <c r="E161" s="26">
        <f>'Clean Swap Data'!C133-'Clean Swap Data'!C132</f>
        <v>-1.2000000000000011E-2</v>
      </c>
      <c r="F161" s="26">
        <f>'Clean Swap Data'!D133-'Clean Swap Data'!D132</f>
        <v>-1.6000000000000014E-2</v>
      </c>
      <c r="G161" s="26">
        <f>'Clean Swap Data'!E133-'Clean Swap Data'!E132</f>
        <v>-1.6999999999999904E-2</v>
      </c>
      <c r="H161" s="26">
        <f>'Clean Swap Data'!F133-'Clean Swap Data'!F132</f>
        <v>-1.6000000000000014E-2</v>
      </c>
      <c r="I161" s="26">
        <f>'Clean Swap Data'!G133-'Clean Swap Data'!G132</f>
        <v>-1.4000000000000234E-2</v>
      </c>
      <c r="J161" s="26">
        <f>'Clean Swap Data'!H133-'Clean Swap Data'!H132</f>
        <v>-1.2000000000000011E-2</v>
      </c>
      <c r="K161" s="26">
        <f>'Clean Swap Data'!I133-'Clean Swap Data'!I132</f>
        <v>-1.2000000000000011E-2</v>
      </c>
      <c r="L161" s="26">
        <f>'Clean Swap Data'!J133-'Clean Swap Data'!J132</f>
        <v>-9.9999999999997868E-3</v>
      </c>
      <c r="M161" s="26">
        <f>'Clean Swap Data'!K133-'Clean Swap Data'!K132</f>
        <v>-8.999999999999897E-3</v>
      </c>
      <c r="O161" s="23">
        <f ca="1"/>
        <v>-3.7544780478542039E-2</v>
      </c>
      <c r="P161" s="23">
        <f ca="1"/>
        <v>-2.3352576171977368E-3</v>
      </c>
      <c r="Q161" s="23">
        <f ca="1"/>
        <v>1.8328370497768375E-2</v>
      </c>
      <c r="S161" s="27">
        <f t="shared" ref="S161:S224" si="25">AVERAGE(M161)</f>
        <v>-8.999999999999897E-3</v>
      </c>
      <c r="T161" s="27">
        <f t="shared" si="23"/>
        <v>-2.0999999999999908E-2</v>
      </c>
      <c r="U161" s="23">
        <f t="shared" si="24"/>
        <v>3.5000000000000142E-2</v>
      </c>
    </row>
    <row r="162" spans="3:21" x14ac:dyDescent="0.2">
      <c r="C162" s="17">
        <f>'Clean Swap Data'!A134</f>
        <v>43395</v>
      </c>
      <c r="D162" s="26">
        <f>'Clean Swap Data'!B134-'Clean Swap Data'!B133</f>
        <v>-7.0000000000001172E-3</v>
      </c>
      <c r="E162" s="26">
        <f>'Clean Swap Data'!C134-'Clean Swap Data'!C133</f>
        <v>1.000000000000334E-3</v>
      </c>
      <c r="F162" s="26">
        <f>'Clean Swap Data'!D134-'Clean Swap Data'!D133</f>
        <v>0</v>
      </c>
      <c r="G162" s="26">
        <f>'Clean Swap Data'!E134-'Clean Swap Data'!E133</f>
        <v>0</v>
      </c>
      <c r="H162" s="26">
        <f>'Clean Swap Data'!F134-'Clean Swap Data'!F133</f>
        <v>0</v>
      </c>
      <c r="I162" s="26">
        <f>'Clean Swap Data'!G134-'Clean Swap Data'!G133</f>
        <v>-9.9999999999988987E-4</v>
      </c>
      <c r="J162" s="26">
        <f>'Clean Swap Data'!H134-'Clean Swap Data'!H133</f>
        <v>-2.0000000000002238E-3</v>
      </c>
      <c r="K162" s="26">
        <f>'Clean Swap Data'!I134-'Clean Swap Data'!I133</f>
        <v>-9.9999999999988987E-4</v>
      </c>
      <c r="L162" s="26">
        <f>'Clean Swap Data'!J134-'Clean Swap Data'!J133</f>
        <v>-1.9999999999997797E-3</v>
      </c>
      <c r="M162" s="26">
        <f>'Clean Swap Data'!K134-'Clean Swap Data'!K133</f>
        <v>-3.0000000000001137E-3</v>
      </c>
      <c r="O162" s="23">
        <f ca="1"/>
        <v>-3.6318938241136915E-3</v>
      </c>
      <c r="P162" s="23">
        <f ca="1"/>
        <v>6.7424051447040052E-4</v>
      </c>
      <c r="Q162" s="23">
        <f ca="1"/>
        <v>-7.2901457327881475E-3</v>
      </c>
      <c r="S162" s="27">
        <f t="shared" si="25"/>
        <v>-3.0000000000001137E-3</v>
      </c>
      <c r="T162" s="27">
        <f t="shared" si="23"/>
        <v>4.0000000000000036E-3</v>
      </c>
      <c r="U162" s="23">
        <f t="shared" si="24"/>
        <v>-1.0000000000000231E-2</v>
      </c>
    </row>
    <row r="163" spans="3:21" x14ac:dyDescent="0.2">
      <c r="C163" s="17">
        <f>'Clean Swap Data'!A135</f>
        <v>43396</v>
      </c>
      <c r="D163" s="26">
        <f>'Clean Swap Data'!B135-'Clean Swap Data'!B134</f>
        <v>-1.2000000000000011E-2</v>
      </c>
      <c r="E163" s="26">
        <f>'Clean Swap Data'!C135-'Clean Swap Data'!C134</f>
        <v>-5.300000000000038E-2</v>
      </c>
      <c r="F163" s="26">
        <f>'Clean Swap Data'!D135-'Clean Swap Data'!D134</f>
        <v>-6.800000000000006E-2</v>
      </c>
      <c r="G163" s="26">
        <f>'Clean Swap Data'!E135-'Clean Swap Data'!E134</f>
        <v>-7.2999999999999954E-2</v>
      </c>
      <c r="H163" s="26">
        <f>'Clean Swap Data'!F135-'Clean Swap Data'!F134</f>
        <v>-7.4999999999999734E-2</v>
      </c>
      <c r="I163" s="26">
        <f>'Clean Swap Data'!G135-'Clean Swap Data'!G134</f>
        <v>-7.4000000000000288E-2</v>
      </c>
      <c r="J163" s="26">
        <f>'Clean Swap Data'!H135-'Clean Swap Data'!H134</f>
        <v>-7.3999999999999844E-2</v>
      </c>
      <c r="K163" s="26">
        <f>'Clean Swap Data'!I135-'Clean Swap Data'!I134</f>
        <v>-7.4000000000000288E-2</v>
      </c>
      <c r="L163" s="26">
        <f>'Clean Swap Data'!J135-'Clean Swap Data'!J134</f>
        <v>-7.2000000000000064E-2</v>
      </c>
      <c r="M163" s="26">
        <f>'Clean Swap Data'!K135-'Clean Swap Data'!K134</f>
        <v>-6.999999999999984E-2</v>
      </c>
      <c r="O163" s="23">
        <f ca="1"/>
        <v>-0.21174447681974201</v>
      </c>
      <c r="P163" s="23">
        <f ca="1"/>
        <v>-8.0572233691413794E-3</v>
      </c>
      <c r="Q163" s="23">
        <f ca="1"/>
        <v>1.1396604299144009E-2</v>
      </c>
      <c r="S163" s="27">
        <f t="shared" si="25"/>
        <v>-6.999999999999984E-2</v>
      </c>
      <c r="T163" s="27">
        <f t="shared" si="23"/>
        <v>-5.7999999999999829E-2</v>
      </c>
      <c r="U163" s="23">
        <f t="shared" si="24"/>
        <v>5.400000000000027E-2</v>
      </c>
    </row>
    <row r="164" spans="3:21" x14ac:dyDescent="0.2">
      <c r="C164" s="17">
        <f>'Clean Swap Data'!A136</f>
        <v>43397</v>
      </c>
      <c r="D164" s="26">
        <f>'Clean Swap Data'!B136-'Clean Swap Data'!B135</f>
        <v>0</v>
      </c>
      <c r="E164" s="26">
        <f>'Clean Swap Data'!C136-'Clean Swap Data'!C135</f>
        <v>3.0000000000001137E-3</v>
      </c>
      <c r="F164" s="26">
        <f>'Clean Swap Data'!D136-'Clean Swap Data'!D135</f>
        <v>0</v>
      </c>
      <c r="G164" s="26">
        <f>'Clean Swap Data'!E136-'Clean Swap Data'!E135</f>
        <v>-9.9999999999988987E-4</v>
      </c>
      <c r="H164" s="26">
        <f>'Clean Swap Data'!F136-'Clean Swap Data'!F135</f>
        <v>-2.0000000000002238E-3</v>
      </c>
      <c r="I164" s="26">
        <f>'Clean Swap Data'!G136-'Clean Swap Data'!G135</f>
        <v>-2.9999999999996696E-3</v>
      </c>
      <c r="J164" s="26">
        <f>'Clean Swap Data'!H136-'Clean Swap Data'!H135</f>
        <v>-1.000000000000334E-3</v>
      </c>
      <c r="K164" s="26">
        <f>'Clean Swap Data'!I136-'Clean Swap Data'!I135</f>
        <v>1.000000000000334E-3</v>
      </c>
      <c r="L164" s="26">
        <f>'Clean Swap Data'!J136-'Clean Swap Data'!J135</f>
        <v>1.9999999999997797E-3</v>
      </c>
      <c r="M164" s="26">
        <f>'Clean Swap Data'!K136-'Clean Swap Data'!K135</f>
        <v>2.9999999999996696E-3</v>
      </c>
      <c r="O164" s="23">
        <f ca="1"/>
        <v>4.3257784809448718E-4</v>
      </c>
      <c r="P164" s="23">
        <f ca="1"/>
        <v>5.5570080778192046E-4</v>
      </c>
      <c r="Q164" s="23">
        <f ca="1"/>
        <v>1.0368704677686529E-3</v>
      </c>
      <c r="S164" s="27">
        <f t="shared" si="25"/>
        <v>2.9999999999996696E-3</v>
      </c>
      <c r="T164" s="27">
        <f t="shared" si="23"/>
        <v>2.9999999999996696E-3</v>
      </c>
      <c r="U164" s="23">
        <f t="shared" si="24"/>
        <v>2.9999999999996696E-3</v>
      </c>
    </row>
    <row r="165" spans="3:21" x14ac:dyDescent="0.2">
      <c r="C165" s="17">
        <f>'Clean Swap Data'!A137</f>
        <v>43398</v>
      </c>
      <c r="D165" s="26">
        <f>'Clean Swap Data'!B137-'Clean Swap Data'!B136</f>
        <v>1.2000000000000011E-2</v>
      </c>
      <c r="E165" s="26">
        <f>'Clean Swap Data'!C137-'Clean Swap Data'!C136</f>
        <v>1.2000000000000011E-2</v>
      </c>
      <c r="F165" s="26">
        <f>'Clean Swap Data'!D137-'Clean Swap Data'!D136</f>
        <v>1.1000000000000121E-2</v>
      </c>
      <c r="G165" s="26">
        <f>'Clean Swap Data'!E137-'Clean Swap Data'!E136</f>
        <v>8.999999999999897E-3</v>
      </c>
      <c r="H165" s="26">
        <f>'Clean Swap Data'!F137-'Clean Swap Data'!F136</f>
        <v>9.0000000000003411E-3</v>
      </c>
      <c r="I165" s="26">
        <f>'Clean Swap Data'!G137-'Clean Swap Data'!G136</f>
        <v>8.0000000000000071E-3</v>
      </c>
      <c r="J165" s="26">
        <f>'Clean Swap Data'!H137-'Clean Swap Data'!H136</f>
        <v>7.0000000000001172E-3</v>
      </c>
      <c r="K165" s="26">
        <f>'Clean Swap Data'!I137-'Clean Swap Data'!I136</f>
        <v>5.9999999999997833E-3</v>
      </c>
      <c r="L165" s="26">
        <f>'Clean Swap Data'!J137-'Clean Swap Data'!J136</f>
        <v>4.9999999999998934E-3</v>
      </c>
      <c r="M165" s="26">
        <f>'Clean Swap Data'!K137-'Clean Swap Data'!K136</f>
        <v>5.0000000000003375E-3</v>
      </c>
      <c r="O165" s="23">
        <f ca="1"/>
        <v>2.4854915023671598E-2</v>
      </c>
      <c r="P165" s="23">
        <f ca="1"/>
        <v>-1.1674618361417555E-2</v>
      </c>
      <c r="Q165" s="23">
        <f ca="1"/>
        <v>3.7501095346087294E-3</v>
      </c>
      <c r="S165" s="27">
        <f t="shared" si="25"/>
        <v>5.0000000000003375E-3</v>
      </c>
      <c r="T165" s="27">
        <f t="shared" ref="T165:T228" si="26">M165-D165</f>
        <v>-6.9999999999996732E-3</v>
      </c>
      <c r="U165" s="23">
        <f t="shared" ref="U165:U228" si="27">M165+D165-2*F165</f>
        <v>-4.9999999999998934E-3</v>
      </c>
    </row>
    <row r="166" spans="3:21" x14ac:dyDescent="0.2">
      <c r="C166" s="17">
        <f>'Clean Swap Data'!A138</f>
        <v>43399</v>
      </c>
      <c r="D166" s="26">
        <f>'Clean Swap Data'!B138-'Clean Swap Data'!B137</f>
        <v>-2.6999999999999691E-2</v>
      </c>
      <c r="E166" s="26">
        <f>'Clean Swap Data'!C138-'Clean Swap Data'!C137</f>
        <v>-8.0000000000000071E-2</v>
      </c>
      <c r="F166" s="26">
        <f>'Clean Swap Data'!D138-'Clean Swap Data'!D137</f>
        <v>-9.1000000000000192E-2</v>
      </c>
      <c r="G166" s="26">
        <f>'Clean Swap Data'!E138-'Clean Swap Data'!E137</f>
        <v>-9.1000000000000192E-2</v>
      </c>
      <c r="H166" s="26">
        <f>'Clean Swap Data'!F138-'Clean Swap Data'!F137</f>
        <v>-9.2000000000000082E-2</v>
      </c>
      <c r="I166" s="26">
        <f>'Clean Swap Data'!G138-'Clean Swap Data'!G137</f>
        <v>-9.0000000000000302E-2</v>
      </c>
      <c r="J166" s="26">
        <f>'Clean Swap Data'!H138-'Clean Swap Data'!H137</f>
        <v>-8.8000000000000078E-2</v>
      </c>
      <c r="K166" s="26">
        <f>'Clean Swap Data'!I138-'Clean Swap Data'!I137</f>
        <v>-8.5999999999999854E-2</v>
      </c>
      <c r="L166" s="26">
        <f>'Clean Swap Data'!J138-'Clean Swap Data'!J137</f>
        <v>-8.3999999999999631E-2</v>
      </c>
      <c r="M166" s="26">
        <f>'Clean Swap Data'!K138-'Clean Swap Data'!K137</f>
        <v>-8.2000000000000295E-2</v>
      </c>
      <c r="O166" s="23">
        <f ca="1"/>
        <v>-0.26250606203179994</v>
      </c>
      <c r="P166" s="23">
        <f ca="1"/>
        <v>1.1075074594166026E-2</v>
      </c>
      <c r="Q166" s="23">
        <f ca="1"/>
        <v>1.1522446045845493E-2</v>
      </c>
      <c r="S166" s="27">
        <f t="shared" si="25"/>
        <v>-8.2000000000000295E-2</v>
      </c>
      <c r="T166" s="27">
        <f t="shared" si="26"/>
        <v>-5.5000000000000604E-2</v>
      </c>
      <c r="U166" s="23">
        <f t="shared" si="27"/>
        <v>7.3000000000000398E-2</v>
      </c>
    </row>
    <row r="167" spans="3:21" x14ac:dyDescent="0.2">
      <c r="C167" s="17">
        <f>'Clean Swap Data'!A139</f>
        <v>43402</v>
      </c>
      <c r="D167" s="26">
        <f>'Clean Swap Data'!B139-'Clean Swap Data'!B138</f>
        <v>3.0000000000001137E-3</v>
      </c>
      <c r="E167" s="26">
        <f>'Clean Swap Data'!C139-'Clean Swap Data'!C138</f>
        <v>5.500000000000016E-2</v>
      </c>
      <c r="F167" s="26">
        <f>'Clean Swap Data'!D139-'Clean Swap Data'!D138</f>
        <v>6.4999999999999947E-2</v>
      </c>
      <c r="G167" s="26">
        <f>'Clean Swap Data'!E139-'Clean Swap Data'!E138</f>
        <v>6.6000000000000281E-2</v>
      </c>
      <c r="H167" s="26">
        <f>'Clean Swap Data'!F139-'Clean Swap Data'!F138</f>
        <v>6.800000000000006E-2</v>
      </c>
      <c r="I167" s="26">
        <f>'Clean Swap Data'!G139-'Clean Swap Data'!G138</f>
        <v>6.9000000000000394E-2</v>
      </c>
      <c r="J167" s="26">
        <f>'Clean Swap Data'!H139-'Clean Swap Data'!H138</f>
        <v>6.800000000000006E-2</v>
      </c>
      <c r="K167" s="26">
        <f>'Clean Swap Data'!I139-'Clean Swap Data'!I138</f>
        <v>6.800000000000006E-2</v>
      </c>
      <c r="L167" s="26">
        <f>'Clean Swap Data'!J139-'Clean Swap Data'!J138</f>
        <v>6.7999999999999616E-2</v>
      </c>
      <c r="M167" s="26">
        <f>'Clean Swap Data'!K139-'Clean Swap Data'!K138</f>
        <v>6.899999999999995E-2</v>
      </c>
      <c r="O167" s="23">
        <f ca="1"/>
        <v>0.19796019105032667</v>
      </c>
      <c r="P167" s="23">
        <f ca="1"/>
        <v>1.0246117634535746E-2</v>
      </c>
      <c r="Q167" s="23">
        <f ca="1"/>
        <v>-1.767778878159984E-2</v>
      </c>
      <c r="S167" s="27">
        <f t="shared" si="25"/>
        <v>6.899999999999995E-2</v>
      </c>
      <c r="T167" s="27">
        <f t="shared" si="26"/>
        <v>6.5999999999999837E-2</v>
      </c>
      <c r="U167" s="23">
        <f t="shared" si="27"/>
        <v>-5.7999999999999829E-2</v>
      </c>
    </row>
    <row r="168" spans="3:21" x14ac:dyDescent="0.2">
      <c r="C168" s="17">
        <f>'Clean Swap Data'!A140</f>
        <v>43403</v>
      </c>
      <c r="D168" s="26">
        <f>'Clean Swap Data'!B140-'Clean Swap Data'!B139</f>
        <v>1.0999999999999677E-2</v>
      </c>
      <c r="E168" s="26">
        <f>'Clean Swap Data'!C140-'Clean Swap Data'!C139</f>
        <v>-8.0000000000000071E-3</v>
      </c>
      <c r="F168" s="26">
        <f>'Clean Swap Data'!D140-'Clean Swap Data'!D139</f>
        <v>-1.2999999999999901E-2</v>
      </c>
      <c r="G168" s="26">
        <f>'Clean Swap Data'!E140-'Clean Swap Data'!E139</f>
        <v>-1.4000000000000234E-2</v>
      </c>
      <c r="H168" s="26">
        <f>'Clean Swap Data'!F140-'Clean Swap Data'!F139</f>
        <v>-1.1000000000000121E-2</v>
      </c>
      <c r="I168" s="26">
        <f>'Clean Swap Data'!G140-'Clean Swap Data'!G139</f>
        <v>-1.3000000000000345E-2</v>
      </c>
      <c r="J168" s="26">
        <f>'Clean Swap Data'!H140-'Clean Swap Data'!H139</f>
        <v>-1.2999999999999901E-2</v>
      </c>
      <c r="K168" s="26">
        <f>'Clean Swap Data'!I140-'Clean Swap Data'!I139</f>
        <v>-1.4000000000000234E-2</v>
      </c>
      <c r="L168" s="26">
        <f>'Clean Swap Data'!J140-'Clean Swap Data'!J139</f>
        <v>-1.399999999999979E-2</v>
      </c>
      <c r="M168" s="26">
        <f>'Clean Swap Data'!K140-'Clean Swap Data'!K139</f>
        <v>-1.499999999999968E-2</v>
      </c>
      <c r="O168" s="23">
        <f ca="1"/>
        <v>-3.697300560010635E-2</v>
      </c>
      <c r="P168" s="23">
        <f ca="1"/>
        <v>-9.8813280251351925E-3</v>
      </c>
      <c r="Q168" s="23">
        <f ca="1"/>
        <v>1.2100973551709701E-2</v>
      </c>
      <c r="S168" s="27">
        <f t="shared" si="25"/>
        <v>-1.499999999999968E-2</v>
      </c>
      <c r="T168" s="27">
        <f t="shared" si="26"/>
        <v>-2.5999999999999357E-2</v>
      </c>
      <c r="U168" s="23">
        <f t="shared" si="27"/>
        <v>2.1999999999999797E-2</v>
      </c>
    </row>
    <row r="169" spans="3:21" x14ac:dyDescent="0.2">
      <c r="C169" s="17">
        <f>'Clean Swap Data'!A141</f>
        <v>43404</v>
      </c>
      <c r="D169" s="26">
        <f>'Clean Swap Data'!B141-'Clean Swap Data'!B140</f>
        <v>2.4000000000000021E-2</v>
      </c>
      <c r="E169" s="26">
        <f>'Clean Swap Data'!C141-'Clean Swap Data'!C140</f>
        <v>3.9000000000000146E-2</v>
      </c>
      <c r="F169" s="26">
        <f>'Clean Swap Data'!D141-'Clean Swap Data'!D140</f>
        <v>4.3000000000000149E-2</v>
      </c>
      <c r="G169" s="26">
        <f>'Clean Swap Data'!E141-'Clean Swap Data'!E140</f>
        <v>4.4000000000000039E-2</v>
      </c>
      <c r="H169" s="26">
        <f>'Clean Swap Data'!F141-'Clean Swap Data'!F140</f>
        <v>4.2999999999999705E-2</v>
      </c>
      <c r="I169" s="26">
        <f>'Clean Swap Data'!G141-'Clean Swap Data'!G140</f>
        <v>4.4000000000000039E-2</v>
      </c>
      <c r="J169" s="26">
        <f>'Clean Swap Data'!H141-'Clean Swap Data'!H140</f>
        <v>4.3000000000000149E-2</v>
      </c>
      <c r="K169" s="26">
        <f>'Clean Swap Data'!I141-'Clean Swap Data'!I140</f>
        <v>4.3000000000000149E-2</v>
      </c>
      <c r="L169" s="26">
        <f>'Clean Swap Data'!J141-'Clean Swap Data'!J140</f>
        <v>4.0999999999999925E-2</v>
      </c>
      <c r="M169" s="26">
        <f>'Clean Swap Data'!K141-'Clean Swap Data'!K140</f>
        <v>4.0999999999999925E-2</v>
      </c>
      <c r="O169" s="23">
        <f ca="1"/>
        <v>0.12888581825768108</v>
      </c>
      <c r="P169" s="23">
        <f ca="1"/>
        <v>-9.5270834431265064E-3</v>
      </c>
      <c r="Q169" s="23">
        <f ca="1"/>
        <v>4.5919126565800361E-3</v>
      </c>
      <c r="S169" s="27">
        <f t="shared" si="25"/>
        <v>4.0999999999999925E-2</v>
      </c>
      <c r="T169" s="27">
        <f t="shared" si="26"/>
        <v>1.6999999999999904E-2</v>
      </c>
      <c r="U169" s="23">
        <f t="shared" si="27"/>
        <v>-2.1000000000000352E-2</v>
      </c>
    </row>
    <row r="170" spans="3:21" x14ac:dyDescent="0.2">
      <c r="C170" s="17">
        <f>'Clean Swap Data'!A142</f>
        <v>43405</v>
      </c>
      <c r="D170" s="26">
        <f>'Clean Swap Data'!B142-'Clean Swap Data'!B141</f>
        <v>4.9999999999998934E-3</v>
      </c>
      <c r="E170" s="26">
        <f>'Clean Swap Data'!C142-'Clean Swap Data'!C141</f>
        <v>1.9999999999997797E-3</v>
      </c>
      <c r="F170" s="26">
        <f>'Clean Swap Data'!D142-'Clean Swap Data'!D141</f>
        <v>1.9999999999997797E-3</v>
      </c>
      <c r="G170" s="26">
        <f>'Clean Swap Data'!E142-'Clean Swap Data'!E141</f>
        <v>3.0000000000001137E-3</v>
      </c>
      <c r="H170" s="26">
        <f>'Clean Swap Data'!F142-'Clean Swap Data'!F141</f>
        <v>3.0000000000001137E-3</v>
      </c>
      <c r="I170" s="26">
        <f>'Clean Swap Data'!G142-'Clean Swap Data'!G141</f>
        <v>4.0000000000000036E-3</v>
      </c>
      <c r="J170" s="26">
        <f>'Clean Swap Data'!H142-'Clean Swap Data'!H141</f>
        <v>4.9999999999998934E-3</v>
      </c>
      <c r="K170" s="26">
        <f>'Clean Swap Data'!I142-'Clean Swap Data'!I141</f>
        <v>5.9999999999997833E-3</v>
      </c>
      <c r="L170" s="26">
        <f>'Clean Swap Data'!J142-'Clean Swap Data'!J141</f>
        <v>8.0000000000000071E-3</v>
      </c>
      <c r="M170" s="26">
        <f>'Clean Swap Data'!K142-'Clean Swap Data'!K141</f>
        <v>8.0000000000000071E-3</v>
      </c>
      <c r="O170" s="23">
        <f ca="1"/>
        <v>1.4360955391513755E-2</v>
      </c>
      <c r="P170" s="23">
        <f ca="1"/>
        <v>3.0556606266671348E-3</v>
      </c>
      <c r="Q170" s="23">
        <f ca="1"/>
        <v>5.9520848941842274E-3</v>
      </c>
      <c r="S170" s="27">
        <f t="shared" si="25"/>
        <v>8.0000000000000071E-3</v>
      </c>
      <c r="T170" s="27">
        <f t="shared" si="26"/>
        <v>3.0000000000001137E-3</v>
      </c>
      <c r="U170" s="23">
        <f t="shared" si="27"/>
        <v>9.0000000000003411E-3</v>
      </c>
    </row>
    <row r="171" spans="3:21" x14ac:dyDescent="0.2">
      <c r="C171" s="17">
        <f>'Clean Swap Data'!A143</f>
        <v>43406</v>
      </c>
      <c r="D171" s="26">
        <f>'Clean Swap Data'!B143-'Clean Swap Data'!B142</f>
        <v>3.0000000000000249E-2</v>
      </c>
      <c r="E171" s="26">
        <f>'Clean Swap Data'!C143-'Clean Swap Data'!C142</f>
        <v>2.0999999999999908E-2</v>
      </c>
      <c r="F171" s="26">
        <f>'Clean Swap Data'!D143-'Clean Swap Data'!D142</f>
        <v>2.4000000000000021E-2</v>
      </c>
      <c r="G171" s="26">
        <f>'Clean Swap Data'!E143-'Clean Swap Data'!E142</f>
        <v>2.5999999999999801E-2</v>
      </c>
      <c r="H171" s="26">
        <f>'Clean Swap Data'!F143-'Clean Swap Data'!F142</f>
        <v>2.7000000000000135E-2</v>
      </c>
      <c r="I171" s="26">
        <f>'Clean Swap Data'!G143-'Clean Swap Data'!G142</f>
        <v>2.7000000000000135E-2</v>
      </c>
      <c r="J171" s="26">
        <f>'Clean Swap Data'!H143-'Clean Swap Data'!H142</f>
        <v>2.8999999999999915E-2</v>
      </c>
      <c r="K171" s="26">
        <f>'Clean Swap Data'!I143-'Clean Swap Data'!I142</f>
        <v>3.0000000000000249E-2</v>
      </c>
      <c r="L171" s="26">
        <f>'Clean Swap Data'!J143-'Clean Swap Data'!J142</f>
        <v>3.1000000000000139E-2</v>
      </c>
      <c r="M171" s="26">
        <f>'Clean Swap Data'!K143-'Clean Swap Data'!K142</f>
        <v>3.1000000000000139E-2</v>
      </c>
      <c r="O171" s="23">
        <f ca="1"/>
        <v>8.5326896697150809E-2</v>
      </c>
      <c r="P171" s="23">
        <f ca="1"/>
        <v>-5.7882813542333468E-3</v>
      </c>
      <c r="Q171" s="23">
        <f ca="1"/>
        <v>1.9949683527996399E-2</v>
      </c>
      <c r="S171" s="27">
        <f t="shared" si="25"/>
        <v>3.1000000000000139E-2</v>
      </c>
      <c r="T171" s="27">
        <f t="shared" si="26"/>
        <v>9.9999999999988987E-4</v>
      </c>
      <c r="U171" s="23">
        <f t="shared" si="27"/>
        <v>1.3000000000000345E-2</v>
      </c>
    </row>
    <row r="172" spans="3:21" x14ac:dyDescent="0.2">
      <c r="C172" s="17">
        <f>'Clean Swap Data'!A144</f>
        <v>43409</v>
      </c>
      <c r="D172" s="26">
        <f>'Clean Swap Data'!B144-'Clean Swap Data'!B143</f>
        <v>-8.999999999999897E-3</v>
      </c>
      <c r="E172" s="26">
        <f>'Clean Swap Data'!C144-'Clean Swap Data'!C143</f>
        <v>5.0000000000003375E-3</v>
      </c>
      <c r="F172" s="26">
        <f>'Clean Swap Data'!D144-'Clean Swap Data'!D143</f>
        <v>6.0000000000002274E-3</v>
      </c>
      <c r="G172" s="26">
        <f>'Clean Swap Data'!E144-'Clean Swap Data'!E143</f>
        <v>4.9999999999998934E-3</v>
      </c>
      <c r="H172" s="26">
        <f>'Clean Swap Data'!F144-'Clean Swap Data'!F143</f>
        <v>4.9999999999998934E-3</v>
      </c>
      <c r="I172" s="26">
        <f>'Clean Swap Data'!G144-'Clean Swap Data'!G143</f>
        <v>8.0000000000000071E-3</v>
      </c>
      <c r="J172" s="26">
        <f>'Clean Swap Data'!H144-'Clean Swap Data'!H143</f>
        <v>8.0000000000000071E-3</v>
      </c>
      <c r="K172" s="26">
        <f>'Clean Swap Data'!I144-'Clean Swap Data'!I143</f>
        <v>7.0000000000001172E-3</v>
      </c>
      <c r="L172" s="26">
        <f>'Clean Swap Data'!J144-'Clean Swap Data'!J143</f>
        <v>0</v>
      </c>
      <c r="M172" s="26">
        <f>'Clean Swap Data'!K144-'Clean Swap Data'!K143</f>
        <v>9.9999999999997868E-3</v>
      </c>
      <c r="O172" s="23">
        <f ca="1"/>
        <v>1.6829007355045479E-2</v>
      </c>
      <c r="P172" s="23">
        <f ca="1"/>
        <v>5.9550760610475543E-3</v>
      </c>
      <c r="Q172" s="23">
        <f ca="1"/>
        <v>-9.2186425848757962E-3</v>
      </c>
      <c r="S172" s="27">
        <f t="shared" si="25"/>
        <v>9.9999999999997868E-3</v>
      </c>
      <c r="T172" s="27">
        <f t="shared" si="26"/>
        <v>1.8999999999999684E-2</v>
      </c>
      <c r="U172" s="23">
        <f t="shared" si="27"/>
        <v>-1.1000000000000565E-2</v>
      </c>
    </row>
    <row r="173" spans="3:21" x14ac:dyDescent="0.2">
      <c r="C173" s="17">
        <f>'Clean Swap Data'!A145</f>
        <v>43410</v>
      </c>
      <c r="D173" s="26">
        <f>'Clean Swap Data'!B145-'Clean Swap Data'!B144</f>
        <v>5.9999999999997833E-3</v>
      </c>
      <c r="E173" s="26">
        <f>'Clean Swap Data'!C145-'Clean Swap Data'!C144</f>
        <v>4.9999999999998934E-3</v>
      </c>
      <c r="F173" s="26">
        <f>'Clean Swap Data'!D145-'Clean Swap Data'!D144</f>
        <v>5.9999999999997833E-3</v>
      </c>
      <c r="G173" s="26">
        <f>'Clean Swap Data'!E145-'Clean Swap Data'!E144</f>
        <v>7.0000000000001172E-3</v>
      </c>
      <c r="H173" s="26">
        <f>'Clean Swap Data'!F145-'Clean Swap Data'!F144</f>
        <v>8.0000000000000071E-3</v>
      </c>
      <c r="I173" s="26">
        <f>'Clean Swap Data'!G145-'Clean Swap Data'!G144</f>
        <v>4.9999999999998934E-3</v>
      </c>
      <c r="J173" s="26">
        <f>'Clean Swap Data'!H145-'Clean Swap Data'!H144</f>
        <v>4.9999999999998934E-3</v>
      </c>
      <c r="K173" s="26">
        <f>'Clean Swap Data'!I145-'Clean Swap Data'!I144</f>
        <v>4.9999999999998934E-3</v>
      </c>
      <c r="L173" s="26">
        <f>'Clean Swap Data'!J145-'Clean Swap Data'!J144</f>
        <v>1.1000000000000121E-2</v>
      </c>
      <c r="M173" s="26">
        <f>'Clean Swap Data'!K145-'Clean Swap Data'!K144</f>
        <v>3.0000000000001137E-3</v>
      </c>
      <c r="O173" s="23">
        <f ca="1"/>
        <v>1.8956695844472592E-2</v>
      </c>
      <c r="P173" s="23">
        <f ca="1"/>
        <v>-2.6097979172184579E-3</v>
      </c>
      <c r="Q173" s="23">
        <f ca="1"/>
        <v>2.7086235779459002E-3</v>
      </c>
      <c r="S173" s="27">
        <f t="shared" si="25"/>
        <v>3.0000000000001137E-3</v>
      </c>
      <c r="T173" s="27">
        <f t="shared" si="26"/>
        <v>-2.9999999999996696E-3</v>
      </c>
      <c r="U173" s="23">
        <f t="shared" si="27"/>
        <v>-2.9999999999996696E-3</v>
      </c>
    </row>
    <row r="174" spans="3:21" x14ac:dyDescent="0.2">
      <c r="C174" s="17">
        <f>'Clean Swap Data'!A146</f>
        <v>43411</v>
      </c>
      <c r="D174" s="26">
        <f>'Clean Swap Data'!B146-'Clean Swap Data'!B145</f>
        <v>1.4000000000000234E-2</v>
      </c>
      <c r="E174" s="26">
        <f>'Clean Swap Data'!C146-'Clean Swap Data'!C145</f>
        <v>1.2999999999999901E-2</v>
      </c>
      <c r="F174" s="26">
        <f>'Clean Swap Data'!D146-'Clean Swap Data'!D145</f>
        <v>1.1000000000000121E-2</v>
      </c>
      <c r="G174" s="26">
        <f>'Clean Swap Data'!E146-'Clean Swap Data'!E145</f>
        <v>6.0000000000002274E-3</v>
      </c>
      <c r="H174" s="26">
        <f>'Clean Swap Data'!F146-'Clean Swap Data'!F145</f>
        <v>3.0000000000001137E-3</v>
      </c>
      <c r="I174" s="26">
        <f>'Clean Swap Data'!G146-'Clean Swap Data'!G145</f>
        <v>0</v>
      </c>
      <c r="J174" s="26">
        <f>'Clean Swap Data'!H146-'Clean Swap Data'!H145</f>
        <v>-4.0000000000000036E-3</v>
      </c>
      <c r="K174" s="26">
        <f>'Clean Swap Data'!I146-'Clean Swap Data'!I145</f>
        <v>-6.0000000000002274E-3</v>
      </c>
      <c r="L174" s="26">
        <f>'Clean Swap Data'!J146-'Clean Swap Data'!J145</f>
        <v>-8.0000000000000071E-3</v>
      </c>
      <c r="M174" s="26">
        <f>'Clean Swap Data'!K146-'Clean Swap Data'!K145</f>
        <v>-1.0000000000000231E-2</v>
      </c>
      <c r="O174" s="23">
        <f ca="1"/>
        <v>2.2006161166862304E-3</v>
      </c>
      <c r="P174" s="23">
        <f ca="1"/>
        <v>-2.7200706247372614E-2</v>
      </c>
      <c r="Q174" s="23">
        <f ca="1"/>
        <v>-2.0899466295993012E-4</v>
      </c>
      <c r="S174" s="27">
        <f t="shared" si="25"/>
        <v>-1.0000000000000231E-2</v>
      </c>
      <c r="T174" s="27">
        <f t="shared" si="26"/>
        <v>-2.4000000000000465E-2</v>
      </c>
      <c r="U174" s="23">
        <f t="shared" si="27"/>
        <v>-1.8000000000000238E-2</v>
      </c>
    </row>
    <row r="175" spans="3:21" x14ac:dyDescent="0.2">
      <c r="C175" s="17">
        <f>'Clean Swap Data'!A147</f>
        <v>43412</v>
      </c>
      <c r="D175" s="26">
        <f>'Clean Swap Data'!B147-'Clean Swap Data'!B146</f>
        <v>1.399999999999979E-2</v>
      </c>
      <c r="E175" s="26">
        <f>'Clean Swap Data'!C147-'Clean Swap Data'!C146</f>
        <v>1.399999999999979E-2</v>
      </c>
      <c r="F175" s="26">
        <f>'Clean Swap Data'!D147-'Clean Swap Data'!D146</f>
        <v>1.5000000000000124E-2</v>
      </c>
      <c r="G175" s="26">
        <f>'Clean Swap Data'!E147-'Clean Swap Data'!E146</f>
        <v>1.7999999999999794E-2</v>
      </c>
      <c r="H175" s="26">
        <f>'Clean Swap Data'!F147-'Clean Swap Data'!F146</f>
        <v>1.7999999999999794E-2</v>
      </c>
      <c r="I175" s="26">
        <f>'Clean Swap Data'!G147-'Clean Swap Data'!G146</f>
        <v>2.0000000000000018E-2</v>
      </c>
      <c r="J175" s="26">
        <f>'Clean Swap Data'!H147-'Clean Swap Data'!H146</f>
        <v>2.2000000000000242E-2</v>
      </c>
      <c r="K175" s="26">
        <f>'Clean Swap Data'!I147-'Clean Swap Data'!I146</f>
        <v>2.3000000000000131E-2</v>
      </c>
      <c r="L175" s="26">
        <f>'Clean Swap Data'!J147-'Clean Swap Data'!J146</f>
        <v>2.4999999999999911E-2</v>
      </c>
      <c r="M175" s="26">
        <f>'Clean Swap Data'!K147-'Clean Swap Data'!K146</f>
        <v>2.4999999999999911E-2</v>
      </c>
      <c r="O175" s="23">
        <f ca="1"/>
        <v>6.1631381673923437E-2</v>
      </c>
      <c r="P175" s="23">
        <f ca="1"/>
        <v>3.7139857533181019E-3</v>
      </c>
      <c r="Q175" s="23">
        <f ca="1"/>
        <v>1.0391431742910835E-2</v>
      </c>
      <c r="S175" s="27">
        <f t="shared" si="25"/>
        <v>2.4999999999999911E-2</v>
      </c>
      <c r="T175" s="27">
        <f t="shared" si="26"/>
        <v>1.1000000000000121E-2</v>
      </c>
      <c r="U175" s="23">
        <f t="shared" si="27"/>
        <v>8.9999999999994529E-3</v>
      </c>
    </row>
    <row r="176" spans="3:21" x14ac:dyDescent="0.2">
      <c r="C176" s="17">
        <f>'Clean Swap Data'!A148</f>
        <v>43413</v>
      </c>
      <c r="D176" s="26">
        <f>'Clean Swap Data'!B148-'Clean Swap Data'!B147</f>
        <v>-1.2999999999999901E-2</v>
      </c>
      <c r="E176" s="26">
        <f>'Clean Swap Data'!C148-'Clean Swap Data'!C147</f>
        <v>-1.2999999999999901E-2</v>
      </c>
      <c r="F176" s="26">
        <f>'Clean Swap Data'!D148-'Clean Swap Data'!D147</f>
        <v>-1.7000000000000348E-2</v>
      </c>
      <c r="G176" s="26">
        <f>'Clean Swap Data'!E148-'Clean Swap Data'!E147</f>
        <v>-2.0999999999999908E-2</v>
      </c>
      <c r="H176" s="26">
        <f>'Clean Swap Data'!F148-'Clean Swap Data'!F147</f>
        <v>-2.1999999999999797E-2</v>
      </c>
      <c r="I176" s="26">
        <f>'Clean Swap Data'!G148-'Clean Swap Data'!G147</f>
        <v>-2.4000000000000021E-2</v>
      </c>
      <c r="J176" s="26">
        <f>'Clean Swap Data'!H148-'Clean Swap Data'!H147</f>
        <v>-2.4999999999999911E-2</v>
      </c>
      <c r="K176" s="26">
        <f>'Clean Swap Data'!I148-'Clean Swap Data'!I147</f>
        <v>-2.5999999999999801E-2</v>
      </c>
      <c r="L176" s="26">
        <f>'Clean Swap Data'!J148-'Clean Swap Data'!J147</f>
        <v>-2.8000000000000025E-2</v>
      </c>
      <c r="M176" s="26">
        <f>'Clean Swap Data'!K148-'Clean Swap Data'!K147</f>
        <v>-2.8999999999999915E-2</v>
      </c>
      <c r="O176" s="23">
        <f ca="1"/>
        <v>-7.005909293841317E-2</v>
      </c>
      <c r="P176" s="23">
        <f ca="1"/>
        <v>-7.0334731469009256E-3</v>
      </c>
      <c r="Q176" s="23">
        <f ca="1"/>
        <v>-9.6588274331473357E-3</v>
      </c>
      <c r="S176" s="27">
        <f t="shared" si="25"/>
        <v>-2.8999999999999915E-2</v>
      </c>
      <c r="T176" s="27">
        <f t="shared" si="26"/>
        <v>-1.6000000000000014E-2</v>
      </c>
      <c r="U176" s="23">
        <f t="shared" si="27"/>
        <v>-7.9999999999991189E-3</v>
      </c>
    </row>
    <row r="177" spans="3:21" x14ac:dyDescent="0.2">
      <c r="C177" s="17">
        <f>'Clean Swap Data'!A149</f>
        <v>43417</v>
      </c>
      <c r="D177" s="26">
        <f>'Clean Swap Data'!B149-'Clean Swap Data'!B148</f>
        <v>-2.4999999999999911E-2</v>
      </c>
      <c r="E177" s="26">
        <f>'Clean Swap Data'!C149-'Clean Swap Data'!C148</f>
        <v>-3.0999999999999694E-2</v>
      </c>
      <c r="F177" s="26">
        <f>'Clean Swap Data'!D149-'Clean Swap Data'!D148</f>
        <v>-3.4999999999999698E-2</v>
      </c>
      <c r="G177" s="26">
        <f>'Clean Swap Data'!E149-'Clean Swap Data'!E148</f>
        <v>-3.6000000000000032E-2</v>
      </c>
      <c r="H177" s="26">
        <f>'Clean Swap Data'!F149-'Clean Swap Data'!F148</f>
        <v>-3.6999999999999922E-2</v>
      </c>
      <c r="I177" s="26">
        <f>'Clean Swap Data'!G149-'Clean Swap Data'!G148</f>
        <v>-3.6999999999999922E-2</v>
      </c>
      <c r="J177" s="26">
        <f>'Clean Swap Data'!H149-'Clean Swap Data'!H148</f>
        <v>-3.6000000000000032E-2</v>
      </c>
      <c r="K177" s="26">
        <f>'Clean Swap Data'!I149-'Clean Swap Data'!I148</f>
        <v>-3.6000000000000032E-2</v>
      </c>
      <c r="L177" s="26">
        <f>'Clean Swap Data'!J149-'Clean Swap Data'!J148</f>
        <v>-3.5000000000000142E-2</v>
      </c>
      <c r="M177" s="26">
        <f>'Clean Swap Data'!K149-'Clean Swap Data'!K148</f>
        <v>-3.2999999999999918E-2</v>
      </c>
      <c r="O177" s="23">
        <f ca="1"/>
        <v>-0.10763161538318264</v>
      </c>
      <c r="P177" s="23">
        <f ca="1"/>
        <v>9.4742230759975662E-3</v>
      </c>
      <c r="Q177" s="23">
        <f ca="1"/>
        <v>-8.4956771038477014E-3</v>
      </c>
      <c r="S177" s="27">
        <f t="shared" si="25"/>
        <v>-3.2999999999999918E-2</v>
      </c>
      <c r="T177" s="27">
        <f t="shared" si="26"/>
        <v>-8.0000000000000071E-3</v>
      </c>
      <c r="U177" s="23">
        <f t="shared" si="27"/>
        <v>1.1999999999999567E-2</v>
      </c>
    </row>
    <row r="178" spans="3:21" x14ac:dyDescent="0.2">
      <c r="C178" s="17">
        <f>'Clean Swap Data'!A150</f>
        <v>43419</v>
      </c>
      <c r="D178" s="26">
        <f>'Clean Swap Data'!B150-'Clean Swap Data'!B149</f>
        <v>-4.0000000000000036E-3</v>
      </c>
      <c r="E178" s="26">
        <f>'Clean Swap Data'!C150-'Clean Swap Data'!C149</f>
        <v>-6.0000000000000053E-2</v>
      </c>
      <c r="F178" s="26">
        <f>'Clean Swap Data'!D150-'Clean Swap Data'!D149</f>
        <v>-7.2999999999999954E-2</v>
      </c>
      <c r="G178" s="26">
        <f>'Clean Swap Data'!E150-'Clean Swap Data'!E149</f>
        <v>-7.6000000000000068E-2</v>
      </c>
      <c r="H178" s="26">
        <f>'Clean Swap Data'!F150-'Clean Swap Data'!F149</f>
        <v>-7.6000000000000068E-2</v>
      </c>
      <c r="I178" s="26">
        <f>'Clean Swap Data'!G150-'Clean Swap Data'!G149</f>
        <v>-7.2000000000000064E-2</v>
      </c>
      <c r="J178" s="26">
        <f>'Clean Swap Data'!H150-'Clean Swap Data'!H149</f>
        <v>-6.899999999999995E-2</v>
      </c>
      <c r="K178" s="26">
        <f>'Clean Swap Data'!I150-'Clean Swap Data'!I149</f>
        <v>-6.4999999999999947E-2</v>
      </c>
      <c r="L178" s="26">
        <f>'Clean Swap Data'!J150-'Clean Swap Data'!J149</f>
        <v>-6.1999999999999833E-2</v>
      </c>
      <c r="M178" s="26">
        <f>'Clean Swap Data'!K150-'Clean Swap Data'!K149</f>
        <v>-6.0000000000000053E-2</v>
      </c>
      <c r="O178" s="23">
        <f ca="1"/>
        <v>-0.20336458637016339</v>
      </c>
      <c r="P178" s="23">
        <f ca="1"/>
        <v>3.8271682286526651E-3</v>
      </c>
      <c r="Q178" s="23">
        <f ca="1"/>
        <v>2.6893884735371347E-2</v>
      </c>
      <c r="S178" s="27">
        <f t="shared" si="25"/>
        <v>-6.0000000000000053E-2</v>
      </c>
      <c r="T178" s="27">
        <f t="shared" si="26"/>
        <v>-5.600000000000005E-2</v>
      </c>
      <c r="U178" s="23">
        <f t="shared" si="27"/>
        <v>8.1999999999999851E-2</v>
      </c>
    </row>
    <row r="179" spans="3:21" x14ac:dyDescent="0.2">
      <c r="C179" s="17">
        <f>'Clean Swap Data'!A151</f>
        <v>43420</v>
      </c>
      <c r="D179" s="26">
        <f>'Clean Swap Data'!B151-'Clean Swap Data'!B150</f>
        <v>-3.2000000000000028E-2</v>
      </c>
      <c r="E179" s="26">
        <f>'Clean Swap Data'!C151-'Clean Swap Data'!C150</f>
        <v>-8.0000000000000071E-3</v>
      </c>
      <c r="F179" s="26">
        <f>'Clean Swap Data'!D151-'Clean Swap Data'!D150</f>
        <v>-1.2000000000000011E-2</v>
      </c>
      <c r="G179" s="26">
        <f>'Clean Swap Data'!E151-'Clean Swap Data'!E150</f>
        <v>-1.1000000000000121E-2</v>
      </c>
      <c r="H179" s="26">
        <f>'Clean Swap Data'!F151-'Clean Swap Data'!F150</f>
        <v>-8.0000000000000071E-3</v>
      </c>
      <c r="I179" s="26">
        <f>'Clean Swap Data'!G151-'Clean Swap Data'!G150</f>
        <v>-5.9999999999997833E-3</v>
      </c>
      <c r="J179" s="26">
        <f>'Clean Swap Data'!H151-'Clean Swap Data'!H150</f>
        <v>-5.0000000000003375E-3</v>
      </c>
      <c r="K179" s="26">
        <f>'Clean Swap Data'!I151-'Clean Swap Data'!I150</f>
        <v>-2.0000000000002238E-3</v>
      </c>
      <c r="L179" s="26">
        <f>'Clean Swap Data'!J151-'Clean Swap Data'!J150</f>
        <v>0</v>
      </c>
      <c r="M179" s="26">
        <f>'Clean Swap Data'!K151-'Clean Swap Data'!K150</f>
        <v>9.9999999999988987E-4</v>
      </c>
      <c r="O179" s="23">
        <f ca="1"/>
        <v>-2.0370862503200127E-2</v>
      </c>
      <c r="P179" s="23">
        <f ca="1"/>
        <v>2.5924974777295041E-2</v>
      </c>
      <c r="Q179" s="23">
        <f ca="1"/>
        <v>-1.8359511712990224E-2</v>
      </c>
      <c r="S179" s="27">
        <f t="shared" si="25"/>
        <v>9.9999999999988987E-4</v>
      </c>
      <c r="T179" s="27">
        <f t="shared" si="26"/>
        <v>3.2999999999999918E-2</v>
      </c>
      <c r="U179" s="23">
        <f t="shared" si="27"/>
        <v>-7.0000000000001172E-3</v>
      </c>
    </row>
    <row r="180" spans="3:21" x14ac:dyDescent="0.2">
      <c r="C180" s="17">
        <f>'Clean Swap Data'!A152</f>
        <v>43423</v>
      </c>
      <c r="D180" s="26">
        <f>'Clean Swap Data'!B152-'Clean Swap Data'!B151</f>
        <v>-1.9000000000000128E-2</v>
      </c>
      <c r="E180" s="26">
        <f>'Clean Swap Data'!C152-'Clean Swap Data'!C151</f>
        <v>-4.0000000000000036E-2</v>
      </c>
      <c r="F180" s="26">
        <f>'Clean Swap Data'!D152-'Clean Swap Data'!D151</f>
        <v>-4.0000000000000036E-2</v>
      </c>
      <c r="G180" s="26">
        <f>'Clean Swap Data'!E152-'Clean Swap Data'!E151</f>
        <v>-3.7999999999999812E-2</v>
      </c>
      <c r="H180" s="26">
        <f>'Clean Swap Data'!F152-'Clean Swap Data'!F151</f>
        <v>-3.6000000000000032E-2</v>
      </c>
      <c r="I180" s="26">
        <f>'Clean Swap Data'!G152-'Clean Swap Data'!G151</f>
        <v>-3.5000000000000142E-2</v>
      </c>
      <c r="J180" s="26">
        <f>'Clean Swap Data'!H152-'Clean Swap Data'!H151</f>
        <v>-3.2999999999999918E-2</v>
      </c>
      <c r="K180" s="26">
        <f>'Clean Swap Data'!I152-'Clean Swap Data'!I151</f>
        <v>-3.2999999999999918E-2</v>
      </c>
      <c r="L180" s="26">
        <f>'Clean Swap Data'!J152-'Clean Swap Data'!J151</f>
        <v>-3.2000000000000028E-2</v>
      </c>
      <c r="M180" s="26">
        <f>'Clean Swap Data'!K152-'Clean Swap Data'!K151</f>
        <v>-3.0999999999999694E-2</v>
      </c>
      <c r="O180" s="23">
        <f ca="1"/>
        <v>-0.10680719592794122</v>
      </c>
      <c r="P180" s="23">
        <f ca="1"/>
        <v>1.5968262047405285E-2</v>
      </c>
      <c r="Q180" s="23">
        <f ca="1"/>
        <v>1.5658217159802163E-3</v>
      </c>
      <c r="S180" s="27">
        <f t="shared" si="25"/>
        <v>-3.0999999999999694E-2</v>
      </c>
      <c r="T180" s="27">
        <f t="shared" si="26"/>
        <v>-1.1999999999999567E-2</v>
      </c>
      <c r="U180" s="23">
        <f t="shared" si="27"/>
        <v>3.0000000000000249E-2</v>
      </c>
    </row>
    <row r="181" spans="3:21" x14ac:dyDescent="0.2">
      <c r="C181" s="17">
        <f>'Clean Swap Data'!A153</f>
        <v>43424</v>
      </c>
      <c r="D181" s="26">
        <f>'Clean Swap Data'!B153-'Clean Swap Data'!B152</f>
        <v>9.9999999999997868E-3</v>
      </c>
      <c r="E181" s="26">
        <f>'Clean Swap Data'!C153-'Clean Swap Data'!C152</f>
        <v>4.0000000000000036E-3</v>
      </c>
      <c r="F181" s="26">
        <f>'Clean Swap Data'!D153-'Clean Swap Data'!D152</f>
        <v>1.9999999999997797E-3</v>
      </c>
      <c r="G181" s="26">
        <f>'Clean Swap Data'!E153-'Clean Swap Data'!E152</f>
        <v>3.0000000000001137E-3</v>
      </c>
      <c r="H181" s="26">
        <f>'Clean Swap Data'!F153-'Clean Swap Data'!F152</f>
        <v>4.0000000000000036E-3</v>
      </c>
      <c r="I181" s="26">
        <f>'Clean Swap Data'!G153-'Clean Swap Data'!G152</f>
        <v>3.0000000000001137E-3</v>
      </c>
      <c r="J181" s="26">
        <f>'Clean Swap Data'!H153-'Clean Swap Data'!H152</f>
        <v>2.0000000000002238E-3</v>
      </c>
      <c r="K181" s="26">
        <f>'Clean Swap Data'!I153-'Clean Swap Data'!I152</f>
        <v>0</v>
      </c>
      <c r="L181" s="26">
        <f>'Clean Swap Data'!J153-'Clean Swap Data'!J152</f>
        <v>0</v>
      </c>
      <c r="M181" s="26">
        <f>'Clean Swap Data'!K153-'Clean Swap Data'!K152</f>
        <v>-9.9999999999988987E-4</v>
      </c>
      <c r="O181" s="23">
        <f ca="1"/>
        <v>6.6703629390219739E-3</v>
      </c>
      <c r="P181" s="23">
        <f ca="1"/>
        <v>-8.4459930134306322E-3</v>
      </c>
      <c r="Q181" s="23">
        <f ca="1"/>
        <v>5.5123044269870395E-3</v>
      </c>
      <c r="S181" s="27">
        <f t="shared" si="25"/>
        <v>-9.9999999999988987E-4</v>
      </c>
      <c r="T181" s="27">
        <f t="shared" si="26"/>
        <v>-1.0999999999999677E-2</v>
      </c>
      <c r="U181" s="23">
        <f t="shared" si="27"/>
        <v>5.0000000000003375E-3</v>
      </c>
    </row>
    <row r="182" spans="3:21" x14ac:dyDescent="0.2">
      <c r="C182" s="17">
        <f>'Clean Swap Data'!A154</f>
        <v>43425</v>
      </c>
      <c r="D182" s="26">
        <f>'Clean Swap Data'!B154-'Clean Swap Data'!B153</f>
        <v>1.5000000000000124E-2</v>
      </c>
      <c r="E182" s="26">
        <f>'Clean Swap Data'!C154-'Clean Swap Data'!C153</f>
        <v>2.2999999999999687E-2</v>
      </c>
      <c r="F182" s="26">
        <f>'Clean Swap Data'!D154-'Clean Swap Data'!D153</f>
        <v>2.8000000000000025E-2</v>
      </c>
      <c r="G182" s="26">
        <f>'Clean Swap Data'!E154-'Clean Swap Data'!E153</f>
        <v>2.6999999999999691E-2</v>
      </c>
      <c r="H182" s="26">
        <f>'Clean Swap Data'!F154-'Clean Swap Data'!F153</f>
        <v>2.4999999999999911E-2</v>
      </c>
      <c r="I182" s="26">
        <f>'Clean Swap Data'!G154-'Clean Swap Data'!G153</f>
        <v>2.2999999999999687E-2</v>
      </c>
      <c r="J182" s="26">
        <f>'Clean Swap Data'!H154-'Clean Swap Data'!H153</f>
        <v>2.0999999999999908E-2</v>
      </c>
      <c r="K182" s="26">
        <f>'Clean Swap Data'!I154-'Clean Swap Data'!I153</f>
        <v>2.0999999999999908E-2</v>
      </c>
      <c r="L182" s="26">
        <f>'Clean Swap Data'!J154-'Clean Swap Data'!J153</f>
        <v>1.9000000000000128E-2</v>
      </c>
      <c r="M182" s="26">
        <f>'Clean Swap Data'!K154-'Clean Swap Data'!K153</f>
        <v>1.7999999999999794E-2</v>
      </c>
      <c r="O182" s="23">
        <f ca="1"/>
        <v>6.9342479264134713E-2</v>
      </c>
      <c r="P182" s="23">
        <f ca="1"/>
        <v>-1.3152854008108679E-2</v>
      </c>
      <c r="Q182" s="23">
        <f ca="1"/>
        <v>-2.493069705969209E-4</v>
      </c>
      <c r="S182" s="27">
        <f t="shared" si="25"/>
        <v>1.7999999999999794E-2</v>
      </c>
      <c r="T182" s="27">
        <f t="shared" si="26"/>
        <v>2.9999999999996696E-3</v>
      </c>
      <c r="U182" s="23">
        <f t="shared" si="27"/>
        <v>-2.3000000000000131E-2</v>
      </c>
    </row>
    <row r="183" spans="3:21" x14ac:dyDescent="0.2">
      <c r="C183" s="17">
        <f>'Clean Swap Data'!A155</f>
        <v>43427</v>
      </c>
      <c r="D183" s="26">
        <f>'Clean Swap Data'!B155-'Clean Swap Data'!B154</f>
        <v>-1.9999999999997797E-3</v>
      </c>
      <c r="E183" s="26">
        <f>'Clean Swap Data'!C155-'Clean Swap Data'!C154</f>
        <v>-1.9999999999999574E-2</v>
      </c>
      <c r="F183" s="26">
        <f>'Clean Swap Data'!D155-'Clean Swap Data'!D154</f>
        <v>-2.8999999999999915E-2</v>
      </c>
      <c r="G183" s="26">
        <f>'Clean Swap Data'!E155-'Clean Swap Data'!E154</f>
        <v>-2.9999999999999805E-2</v>
      </c>
      <c r="H183" s="26">
        <f>'Clean Swap Data'!F155-'Clean Swap Data'!F154</f>
        <v>-3.1000000000000139E-2</v>
      </c>
      <c r="I183" s="26">
        <f>'Clean Swap Data'!G155-'Clean Swap Data'!G154</f>
        <v>-3.2999999999999918E-2</v>
      </c>
      <c r="J183" s="26">
        <f>'Clean Swap Data'!H155-'Clean Swap Data'!H154</f>
        <v>-3.5000000000000142E-2</v>
      </c>
      <c r="K183" s="26">
        <f>'Clean Swap Data'!I155-'Clean Swap Data'!I154</f>
        <v>-3.6000000000000032E-2</v>
      </c>
      <c r="L183" s="26">
        <f>'Clean Swap Data'!J155-'Clean Swap Data'!J154</f>
        <v>-3.8000000000000256E-2</v>
      </c>
      <c r="M183" s="26">
        <f>'Clean Swap Data'!K155-'Clean Swap Data'!K154</f>
        <v>-3.7999999999999812E-2</v>
      </c>
      <c r="O183" s="23">
        <f ca="1"/>
        <v>-9.6925656986127665E-2</v>
      </c>
      <c r="P183" s="23">
        <f ca="1"/>
        <v>-1.3682772228754412E-2</v>
      </c>
      <c r="Q183" s="23">
        <f ca="1"/>
        <v>2.9173327769881213E-3</v>
      </c>
      <c r="S183" s="27">
        <f t="shared" si="25"/>
        <v>-3.7999999999999812E-2</v>
      </c>
      <c r="T183" s="27">
        <f t="shared" si="26"/>
        <v>-3.6000000000000032E-2</v>
      </c>
      <c r="U183" s="23">
        <f t="shared" si="27"/>
        <v>1.8000000000000238E-2</v>
      </c>
    </row>
    <row r="184" spans="3:21" x14ac:dyDescent="0.2">
      <c r="C184" s="17">
        <f>'Clean Swap Data'!A156</f>
        <v>43430</v>
      </c>
      <c r="D184" s="26">
        <f>'Clean Swap Data'!B156-'Clean Swap Data'!B155</f>
        <v>2.1999999999999797E-2</v>
      </c>
      <c r="E184" s="26">
        <f>'Clean Swap Data'!C156-'Clean Swap Data'!C155</f>
        <v>2.7999999999999581E-2</v>
      </c>
      <c r="F184" s="26">
        <f>'Clean Swap Data'!D156-'Clean Swap Data'!D155</f>
        <v>3.1000000000000139E-2</v>
      </c>
      <c r="G184" s="26">
        <f>'Clean Swap Data'!E156-'Clean Swap Data'!E155</f>
        <v>2.9999999999999805E-2</v>
      </c>
      <c r="H184" s="26">
        <f>'Clean Swap Data'!F156-'Clean Swap Data'!F155</f>
        <v>3.0000000000000249E-2</v>
      </c>
      <c r="I184" s="26">
        <f>'Clean Swap Data'!G156-'Clean Swap Data'!G155</f>
        <v>3.1000000000000139E-2</v>
      </c>
      <c r="J184" s="26">
        <f>'Clean Swap Data'!H156-'Clean Swap Data'!H155</f>
        <v>3.2000000000000028E-2</v>
      </c>
      <c r="K184" s="26">
        <f>'Clean Swap Data'!I156-'Clean Swap Data'!I155</f>
        <v>3.1000000000000139E-2</v>
      </c>
      <c r="L184" s="26">
        <f>'Clean Swap Data'!J156-'Clean Swap Data'!J155</f>
        <v>3.2000000000000028E-2</v>
      </c>
      <c r="M184" s="26">
        <f>'Clean Swap Data'!K156-'Clean Swap Data'!K155</f>
        <v>3.1999999999999584E-2</v>
      </c>
      <c r="O184" s="23">
        <f ca="1"/>
        <v>9.4271884852872523E-2</v>
      </c>
      <c r="P184" s="23">
        <f ca="1"/>
        <v>-6.9606943271936245E-3</v>
      </c>
      <c r="Q184" s="23">
        <f ca="1"/>
        <v>8.866754682794277E-3</v>
      </c>
      <c r="S184" s="27">
        <f t="shared" si="25"/>
        <v>3.1999999999999584E-2</v>
      </c>
      <c r="T184" s="27">
        <f t="shared" si="26"/>
        <v>9.9999999999997868E-3</v>
      </c>
      <c r="U184" s="23">
        <f t="shared" si="27"/>
        <v>-8.0000000000008953E-3</v>
      </c>
    </row>
    <row r="185" spans="3:21" x14ac:dyDescent="0.2">
      <c r="C185" s="17">
        <f>'Clean Swap Data'!A157</f>
        <v>43431</v>
      </c>
      <c r="D185" s="26">
        <f>'Clean Swap Data'!B157-'Clean Swap Data'!B156</f>
        <v>-7.0000000000001172E-3</v>
      </c>
      <c r="E185" s="26">
        <f>'Clean Swap Data'!C157-'Clean Swap Data'!C156</f>
        <v>-2.9999999999996696E-3</v>
      </c>
      <c r="F185" s="26">
        <f>'Clean Swap Data'!D157-'Clean Swap Data'!D156</f>
        <v>-5.0000000000003375E-3</v>
      </c>
      <c r="G185" s="26">
        <f>'Clean Swap Data'!E157-'Clean Swap Data'!E156</f>
        <v>-8.999999999999897E-3</v>
      </c>
      <c r="H185" s="26">
        <f>'Clean Swap Data'!F157-'Clean Swap Data'!F156</f>
        <v>-1.1000000000000121E-2</v>
      </c>
      <c r="I185" s="26">
        <f>'Clean Swap Data'!G157-'Clean Swap Data'!G156</f>
        <v>-1.2999999999999901E-2</v>
      </c>
      <c r="J185" s="26">
        <f>'Clean Swap Data'!H157-'Clean Swap Data'!H156</f>
        <v>-1.5000000000000124E-2</v>
      </c>
      <c r="K185" s="26">
        <f>'Clean Swap Data'!I157-'Clean Swap Data'!I156</f>
        <v>-1.5000000000000124E-2</v>
      </c>
      <c r="L185" s="26">
        <f>'Clean Swap Data'!J157-'Clean Swap Data'!J156</f>
        <v>-1.5000000000000124E-2</v>
      </c>
      <c r="M185" s="26">
        <f>'Clean Swap Data'!K157-'Clean Swap Data'!K156</f>
        <v>-1.6999999999999904E-2</v>
      </c>
      <c r="O185" s="23">
        <f ca="1"/>
        <v>-3.5601973429503254E-2</v>
      </c>
      <c r="P185" s="23">
        <f ca="1"/>
        <v>-8.7534875366621842E-3</v>
      </c>
      <c r="Q185" s="23">
        <f ca="1"/>
        <v>-8.3219569406457836E-3</v>
      </c>
      <c r="S185" s="27">
        <f t="shared" si="25"/>
        <v>-1.6999999999999904E-2</v>
      </c>
      <c r="T185" s="27">
        <f t="shared" si="26"/>
        <v>-9.9999999999997868E-3</v>
      </c>
      <c r="U185" s="23">
        <f t="shared" si="27"/>
        <v>-1.3999999999999346E-2</v>
      </c>
    </row>
    <row r="186" spans="3:21" x14ac:dyDescent="0.2">
      <c r="C186" s="17">
        <f>'Clean Swap Data'!A158</f>
        <v>43433</v>
      </c>
      <c r="D186" s="26">
        <f>'Clean Swap Data'!B158-'Clean Swap Data'!B157</f>
        <v>-2.9999999999996696E-3</v>
      </c>
      <c r="E186" s="26">
        <f>'Clean Swap Data'!C158-'Clean Swap Data'!C157</f>
        <v>-4.8999999999999932E-2</v>
      </c>
      <c r="F186" s="26">
        <f>'Clean Swap Data'!D158-'Clean Swap Data'!D157</f>
        <v>-5.9999999999999609E-2</v>
      </c>
      <c r="G186" s="26">
        <f>'Clean Swap Data'!E158-'Clean Swap Data'!E157</f>
        <v>-6.0999999999999943E-2</v>
      </c>
      <c r="H186" s="26">
        <f>'Clean Swap Data'!F158-'Clean Swap Data'!F157</f>
        <v>-6.4000000000000057E-2</v>
      </c>
      <c r="I186" s="26">
        <f>'Clean Swap Data'!G158-'Clean Swap Data'!G157</f>
        <v>-6.3000000000000167E-2</v>
      </c>
      <c r="J186" s="26">
        <f>'Clean Swap Data'!H158-'Clean Swap Data'!H157</f>
        <v>-6.1999999999999833E-2</v>
      </c>
      <c r="K186" s="26">
        <f>'Clean Swap Data'!I158-'Clean Swap Data'!I157</f>
        <v>-6.1999999999999833E-2</v>
      </c>
      <c r="L186" s="26">
        <f>'Clean Swap Data'!J158-'Clean Swap Data'!J157</f>
        <v>-6.1999999999999833E-2</v>
      </c>
      <c r="M186" s="26">
        <f>'Clean Swap Data'!K158-'Clean Swap Data'!K157</f>
        <v>-6.0999999999999943E-2</v>
      </c>
      <c r="O186" s="23">
        <f ca="1"/>
        <v>-0.18080232014184675</v>
      </c>
      <c r="P186" s="23">
        <f ca="1"/>
        <v>-8.4781694814431187E-3</v>
      </c>
      <c r="Q186" s="23">
        <f ca="1"/>
        <v>1.6722667928100531E-2</v>
      </c>
      <c r="S186" s="27">
        <f t="shared" si="25"/>
        <v>-6.0999999999999943E-2</v>
      </c>
      <c r="T186" s="27">
        <f t="shared" si="26"/>
        <v>-5.8000000000000274E-2</v>
      </c>
      <c r="U186" s="23">
        <f t="shared" si="27"/>
        <v>5.5999999999999606E-2</v>
      </c>
    </row>
    <row r="187" spans="3:21" x14ac:dyDescent="0.2">
      <c r="C187" s="17">
        <f>'Clean Swap Data'!A159</f>
        <v>43434</v>
      </c>
      <c r="D187" s="26">
        <f>'Clean Swap Data'!B159-'Clean Swap Data'!B158</f>
        <v>4.0000000000000036E-3</v>
      </c>
      <c r="E187" s="26">
        <f>'Clean Swap Data'!C159-'Clean Swap Data'!C158</f>
        <v>1.2999999999999901E-2</v>
      </c>
      <c r="F187" s="26">
        <f>'Clean Swap Data'!D159-'Clean Swap Data'!D158</f>
        <v>1.399999999999979E-2</v>
      </c>
      <c r="G187" s="26">
        <f>'Clean Swap Data'!E159-'Clean Swap Data'!E158</f>
        <v>1.1000000000000121E-2</v>
      </c>
      <c r="H187" s="26">
        <f>'Clean Swap Data'!F159-'Clean Swap Data'!F158</f>
        <v>9.0000000000003411E-3</v>
      </c>
      <c r="I187" s="26">
        <f>'Clean Swap Data'!G159-'Clean Swap Data'!G158</f>
        <v>6.0000000000002274E-3</v>
      </c>
      <c r="J187" s="26">
        <f>'Clean Swap Data'!H159-'Clean Swap Data'!H158</f>
        <v>4.0000000000000036E-3</v>
      </c>
      <c r="K187" s="26">
        <f>'Clean Swap Data'!I159-'Clean Swap Data'!I158</f>
        <v>1.9999999999997797E-3</v>
      </c>
      <c r="L187" s="26">
        <f>'Clean Swap Data'!J159-'Clean Swap Data'!J158</f>
        <v>9.9999999999988987E-4</v>
      </c>
      <c r="M187" s="26">
        <f>'Clean Swap Data'!K159-'Clean Swap Data'!K158</f>
        <v>0</v>
      </c>
      <c r="O187" s="23">
        <f ca="1"/>
        <v>1.9667110665145114E-2</v>
      </c>
      <c r="P187" s="23">
        <f ca="1"/>
        <v>-1.4359040233058789E-2</v>
      </c>
      <c r="Q187" s="23">
        <f ca="1"/>
        <v>-6.748372204181884E-3</v>
      </c>
      <c r="S187" s="27">
        <f t="shared" si="25"/>
        <v>0</v>
      </c>
      <c r="T187" s="27">
        <f t="shared" si="26"/>
        <v>-4.0000000000000036E-3</v>
      </c>
      <c r="U187" s="23">
        <f t="shared" si="27"/>
        <v>-2.3999999999999577E-2</v>
      </c>
    </row>
    <row r="188" spans="3:21" x14ac:dyDescent="0.2">
      <c r="C188" s="17">
        <f>'Clean Swap Data'!A160</f>
        <v>43437</v>
      </c>
      <c r="D188" s="26">
        <f>'Clean Swap Data'!B160-'Clean Swap Data'!B159</f>
        <v>2.2999999999999687E-2</v>
      </c>
      <c r="E188" s="26">
        <f>'Clean Swap Data'!C160-'Clean Swap Data'!C159</f>
        <v>1.6000000000000014E-2</v>
      </c>
      <c r="F188" s="26">
        <f>'Clean Swap Data'!D160-'Clean Swap Data'!D159</f>
        <v>1.2000000000000011E-2</v>
      </c>
      <c r="G188" s="26">
        <f>'Clean Swap Data'!E160-'Clean Swap Data'!E159</f>
        <v>8.0000000000000071E-3</v>
      </c>
      <c r="H188" s="26">
        <f>'Clean Swap Data'!F160-'Clean Swap Data'!F159</f>
        <v>4.9999999999998934E-3</v>
      </c>
      <c r="I188" s="26">
        <f>'Clean Swap Data'!G160-'Clean Swap Data'!G159</f>
        <v>2.9999999999996696E-3</v>
      </c>
      <c r="J188" s="26">
        <f>'Clean Swap Data'!H160-'Clean Swap Data'!H159</f>
        <v>1.9999999999997797E-3</v>
      </c>
      <c r="K188" s="26">
        <f>'Clean Swap Data'!I160-'Clean Swap Data'!I159</f>
        <v>0</v>
      </c>
      <c r="L188" s="26">
        <f>'Clean Swap Data'!J160-'Clean Swap Data'!J159</f>
        <v>0</v>
      </c>
      <c r="M188" s="26">
        <f>'Clean Swap Data'!K160-'Clean Swap Data'!K159</f>
        <v>9.9999999999988987E-4</v>
      </c>
      <c r="O188" s="23">
        <f ca="1"/>
        <v>1.7318992078424862E-2</v>
      </c>
      <c r="P188" s="23">
        <f ca="1"/>
        <v>-2.4779945796835404E-2</v>
      </c>
      <c r="Q188" s="23">
        <f ca="1"/>
        <v>1.0286703977248179E-2</v>
      </c>
      <c r="S188" s="27">
        <f t="shared" si="25"/>
        <v>9.9999999999988987E-4</v>
      </c>
      <c r="T188" s="27">
        <f t="shared" si="26"/>
        <v>-2.1999999999999797E-2</v>
      </c>
      <c r="U188" s="23">
        <f t="shared" si="27"/>
        <v>-4.4408920985006262E-16</v>
      </c>
    </row>
    <row r="189" spans="3:21" x14ac:dyDescent="0.2">
      <c r="C189" s="17">
        <f>'Clean Swap Data'!A161</f>
        <v>43438</v>
      </c>
      <c r="D189" s="26">
        <f>'Clean Swap Data'!B161-'Clean Swap Data'!B160</f>
        <v>-1.8999999999999684E-2</v>
      </c>
      <c r="E189" s="26">
        <f>'Clean Swap Data'!C161-'Clean Swap Data'!C160</f>
        <v>-9.9999999999988987E-4</v>
      </c>
      <c r="F189" s="26">
        <f>'Clean Swap Data'!D161-'Clean Swap Data'!D160</f>
        <v>-7.0000000000001172E-3</v>
      </c>
      <c r="G189" s="26">
        <f>'Clean Swap Data'!E161-'Clean Swap Data'!E160</f>
        <v>-1.4000000000000234E-2</v>
      </c>
      <c r="H189" s="26">
        <f>'Clean Swap Data'!F161-'Clean Swap Data'!F160</f>
        <v>-2.3000000000000131E-2</v>
      </c>
      <c r="I189" s="26">
        <f>'Clean Swap Data'!G161-'Clean Swap Data'!G160</f>
        <v>-2.6999999999999691E-2</v>
      </c>
      <c r="J189" s="26">
        <f>'Clean Swap Data'!H161-'Clean Swap Data'!H160</f>
        <v>-3.3999999999999808E-2</v>
      </c>
      <c r="K189" s="26">
        <f>'Clean Swap Data'!I161-'Clean Swap Data'!I160</f>
        <v>-3.6000000000000032E-2</v>
      </c>
      <c r="L189" s="26">
        <f>'Clean Swap Data'!J161-'Clean Swap Data'!J160</f>
        <v>-4.0000000000000036E-2</v>
      </c>
      <c r="M189" s="26">
        <f>'Clean Swap Data'!K161-'Clean Swap Data'!K160</f>
        <v>-4.4000000000000039E-2</v>
      </c>
      <c r="O189" s="23">
        <f ca="1"/>
        <v>-7.9031012386138771E-2</v>
      </c>
      <c r="P189" s="23">
        <f ca="1"/>
        <v>-2.8360527755535457E-2</v>
      </c>
      <c r="Q189" s="23">
        <f ca="1"/>
        <v>-2.8246097676199747E-2</v>
      </c>
      <c r="S189" s="27">
        <f t="shared" si="25"/>
        <v>-4.4000000000000039E-2</v>
      </c>
      <c r="T189" s="27">
        <f t="shared" si="26"/>
        <v>-2.5000000000000355E-2</v>
      </c>
      <c r="U189" s="23">
        <f t="shared" si="27"/>
        <v>-4.8999999999999488E-2</v>
      </c>
    </row>
    <row r="190" spans="3:21" x14ac:dyDescent="0.2">
      <c r="C190" s="17">
        <f>'Clean Swap Data'!A162</f>
        <v>43440</v>
      </c>
      <c r="D190" s="26">
        <f>'Clean Swap Data'!B162-'Clean Swap Data'!B161</f>
        <v>-1.8000000000000238E-2</v>
      </c>
      <c r="E190" s="26">
        <f>'Clean Swap Data'!C162-'Clean Swap Data'!C161</f>
        <v>-0.12400000000000011</v>
      </c>
      <c r="F190" s="26">
        <f>'Clean Swap Data'!D162-'Clean Swap Data'!D161</f>
        <v>-0.1419999999999999</v>
      </c>
      <c r="G190" s="26">
        <f>'Clean Swap Data'!E162-'Clean Swap Data'!E161</f>
        <v>-0.1419999999999999</v>
      </c>
      <c r="H190" s="26">
        <f>'Clean Swap Data'!F162-'Clean Swap Data'!F161</f>
        <v>-0.13600000000000012</v>
      </c>
      <c r="I190" s="26">
        <f>'Clean Swap Data'!G162-'Clean Swap Data'!G161</f>
        <v>-0.13200000000000012</v>
      </c>
      <c r="J190" s="26">
        <f>'Clean Swap Data'!H162-'Clean Swap Data'!H161</f>
        <v>-0.12599999999999989</v>
      </c>
      <c r="K190" s="26">
        <f>'Clean Swap Data'!I162-'Clean Swap Data'!I161</f>
        <v>-0.12199999999999989</v>
      </c>
      <c r="L190" s="26">
        <f>'Clean Swap Data'!J162-'Clean Swap Data'!J161</f>
        <v>-0.11899999999999977</v>
      </c>
      <c r="M190" s="26">
        <f>'Clean Swap Data'!K162-'Clean Swap Data'!K161</f>
        <v>-0.11499999999999977</v>
      </c>
      <c r="O190" s="23">
        <f ca="1"/>
        <v>-0.38449906340394507</v>
      </c>
      <c r="P190" s="23">
        <f ca="1"/>
        <v>1.8276644990732421E-2</v>
      </c>
      <c r="Q190" s="23">
        <f ca="1"/>
        <v>4.347883681600874E-2</v>
      </c>
      <c r="S190" s="27">
        <f t="shared" si="25"/>
        <v>-0.11499999999999977</v>
      </c>
      <c r="T190" s="27">
        <f t="shared" si="26"/>
        <v>-9.6999999999999531E-2</v>
      </c>
      <c r="U190" s="23">
        <f t="shared" si="27"/>
        <v>0.1509999999999998</v>
      </c>
    </row>
    <row r="191" spans="3:21" x14ac:dyDescent="0.2">
      <c r="C191" s="17">
        <f>'Clean Swap Data'!A163</f>
        <v>43444</v>
      </c>
      <c r="D191" s="26">
        <f>'Clean Swap Data'!B163-'Clean Swap Data'!B162</f>
        <v>-4.9999999999999822E-2</v>
      </c>
      <c r="E191" s="26">
        <f>'Clean Swap Data'!C163-'Clean Swap Data'!C162</f>
        <v>-2.4000000000000021E-2</v>
      </c>
      <c r="F191" s="26">
        <f>'Clean Swap Data'!D163-'Clean Swap Data'!D162</f>
        <v>-3.6999999999999922E-2</v>
      </c>
      <c r="G191" s="26">
        <f>'Clean Swap Data'!E163-'Clean Swap Data'!E162</f>
        <v>-3.5000000000000142E-2</v>
      </c>
      <c r="H191" s="26">
        <f>'Clean Swap Data'!F163-'Clean Swap Data'!F162</f>
        <v>-2.8999999999999915E-2</v>
      </c>
      <c r="I191" s="26">
        <f>'Clean Swap Data'!G163-'Clean Swap Data'!G162</f>
        <v>-2.6000000000000245E-2</v>
      </c>
      <c r="J191" s="26">
        <f>'Clean Swap Data'!H163-'Clean Swap Data'!H162</f>
        <v>-2.4999999999999911E-2</v>
      </c>
      <c r="K191" s="26">
        <f>'Clean Swap Data'!I163-'Clean Swap Data'!I162</f>
        <v>-2.3000000000000131E-2</v>
      </c>
      <c r="L191" s="26">
        <f>'Clean Swap Data'!J163-'Clean Swap Data'!J162</f>
        <v>-2.2000000000000242E-2</v>
      </c>
      <c r="M191" s="26">
        <f>'Clean Swap Data'!K163-'Clean Swap Data'!K162</f>
        <v>-2.0999999999999908E-2</v>
      </c>
      <c r="O191" s="23">
        <f ca="1"/>
        <v>-8.5848910005616216E-2</v>
      </c>
      <c r="P191" s="23">
        <f ca="1"/>
        <v>3.3191237488383901E-2</v>
      </c>
      <c r="Q191" s="23">
        <f ca="1"/>
        <v>-2.5735708878980249E-2</v>
      </c>
      <c r="S191" s="27">
        <f t="shared" si="25"/>
        <v>-2.0999999999999908E-2</v>
      </c>
      <c r="T191" s="27">
        <f t="shared" si="26"/>
        <v>2.8999999999999915E-2</v>
      </c>
      <c r="U191" s="23">
        <f t="shared" si="27"/>
        <v>3.0000000000001137E-3</v>
      </c>
    </row>
    <row r="192" spans="3:21" x14ac:dyDescent="0.2">
      <c r="C192" s="17">
        <f>'Clean Swap Data'!A164</f>
        <v>43445</v>
      </c>
      <c r="D192" s="26">
        <f>'Clean Swap Data'!B164-'Clean Swap Data'!B163</f>
        <v>2.3000000000000131E-2</v>
      </c>
      <c r="E192" s="26">
        <f>'Clean Swap Data'!C164-'Clean Swap Data'!C163</f>
        <v>2.7000000000000135E-2</v>
      </c>
      <c r="F192" s="26">
        <f>'Clean Swap Data'!D164-'Clean Swap Data'!D163</f>
        <v>2.9999999999999805E-2</v>
      </c>
      <c r="G192" s="26">
        <f>'Clean Swap Data'!E164-'Clean Swap Data'!E163</f>
        <v>2.7000000000000135E-2</v>
      </c>
      <c r="H192" s="26">
        <f>'Clean Swap Data'!F164-'Clean Swap Data'!F163</f>
        <v>2.3000000000000131E-2</v>
      </c>
      <c r="I192" s="26">
        <f>'Clean Swap Data'!G164-'Clean Swap Data'!G163</f>
        <v>2.0000000000000018E-2</v>
      </c>
      <c r="J192" s="26">
        <f>'Clean Swap Data'!H164-'Clean Swap Data'!H163</f>
        <v>1.8999999999999684E-2</v>
      </c>
      <c r="K192" s="26">
        <f>'Clean Swap Data'!I164-'Clean Swap Data'!I163</f>
        <v>1.7000000000000348E-2</v>
      </c>
      <c r="L192" s="26">
        <f>'Clean Swap Data'!J164-'Clean Swap Data'!J163</f>
        <v>1.7000000000000348E-2</v>
      </c>
      <c r="M192" s="26">
        <f>'Clean Swap Data'!K164-'Clean Swap Data'!K163</f>
        <v>1.499999999999968E-2</v>
      </c>
      <c r="O192" s="23">
        <f ca="1"/>
        <v>6.6546525886442734E-2</v>
      </c>
      <c r="P192" s="23">
        <f ca="1"/>
        <v>-2.2994099561331451E-2</v>
      </c>
      <c r="Q192" s="23">
        <f ca="1"/>
        <v>3.9727029052246867E-3</v>
      </c>
      <c r="S192" s="27">
        <f t="shared" si="25"/>
        <v>1.499999999999968E-2</v>
      </c>
      <c r="T192" s="27">
        <f t="shared" si="26"/>
        <v>-8.0000000000004512E-3</v>
      </c>
      <c r="U192" s="23">
        <f t="shared" si="27"/>
        <v>-2.1999999999999797E-2</v>
      </c>
    </row>
    <row r="193" spans="3:21" x14ac:dyDescent="0.2">
      <c r="C193" s="17">
        <f>'Clean Swap Data'!A165</f>
        <v>43447</v>
      </c>
      <c r="D193" s="26">
        <f>'Clean Swap Data'!B165-'Clean Swap Data'!B164</f>
        <v>8.999999999999897E-3</v>
      </c>
      <c r="E193" s="26">
        <f>'Clean Swap Data'!C165-'Clean Swap Data'!C164</f>
        <v>2.7999999999999581E-2</v>
      </c>
      <c r="F193" s="26">
        <f>'Clean Swap Data'!D165-'Clean Swap Data'!D164</f>
        <v>3.6000000000000032E-2</v>
      </c>
      <c r="G193" s="26">
        <f>'Clean Swap Data'!E165-'Clean Swap Data'!E164</f>
        <v>3.9000000000000146E-2</v>
      </c>
      <c r="H193" s="26">
        <f>'Clean Swap Data'!F165-'Clean Swap Data'!F164</f>
        <v>4.0999999999999925E-2</v>
      </c>
      <c r="I193" s="26">
        <f>'Clean Swap Data'!G165-'Clean Swap Data'!G164</f>
        <v>4.3000000000000149E-2</v>
      </c>
      <c r="J193" s="26">
        <f>'Clean Swap Data'!H165-'Clean Swap Data'!H164</f>
        <v>4.4000000000000039E-2</v>
      </c>
      <c r="K193" s="26">
        <f>'Clean Swap Data'!I165-'Clean Swap Data'!I164</f>
        <v>4.5999999999999819E-2</v>
      </c>
      <c r="L193" s="26">
        <f>'Clean Swap Data'!J165-'Clean Swap Data'!J164</f>
        <v>4.6999999999999709E-2</v>
      </c>
      <c r="M193" s="26">
        <f>'Clean Swap Data'!K165-'Clean Swap Data'!K164</f>
        <v>4.8000000000000043E-2</v>
      </c>
      <c r="O193" s="23">
        <f ca="1"/>
        <v>0.1249635268979567</v>
      </c>
      <c r="P193" s="23">
        <f ca="1"/>
        <v>1.2438392777695728E-2</v>
      </c>
      <c r="Q193" s="23">
        <f ca="1"/>
        <v>6.4929690310116563E-4</v>
      </c>
      <c r="S193" s="27">
        <f t="shared" si="25"/>
        <v>4.8000000000000043E-2</v>
      </c>
      <c r="T193" s="27">
        <f t="shared" si="26"/>
        <v>3.9000000000000146E-2</v>
      </c>
      <c r="U193" s="23">
        <f t="shared" si="27"/>
        <v>-1.5000000000000124E-2</v>
      </c>
    </row>
    <row r="194" spans="3:21" x14ac:dyDescent="0.2">
      <c r="C194" s="17">
        <f>'Clean Swap Data'!A166</f>
        <v>43448</v>
      </c>
      <c r="D194" s="26">
        <f>'Clean Swap Data'!B166-'Clean Swap Data'!B165</f>
        <v>-1.2999999999999901E-2</v>
      </c>
      <c r="E194" s="26">
        <f>'Clean Swap Data'!C166-'Clean Swap Data'!C165</f>
        <v>-1.7999999999999794E-2</v>
      </c>
      <c r="F194" s="26">
        <f>'Clean Swap Data'!D166-'Clean Swap Data'!D165</f>
        <v>-2.0000000000000018E-2</v>
      </c>
      <c r="G194" s="26">
        <f>'Clean Swap Data'!E166-'Clean Swap Data'!E165</f>
        <v>-2.2000000000000242E-2</v>
      </c>
      <c r="H194" s="26">
        <f>'Clean Swap Data'!F166-'Clean Swap Data'!F165</f>
        <v>-2.0999999999999908E-2</v>
      </c>
      <c r="I194" s="26">
        <f>'Clean Swap Data'!G166-'Clean Swap Data'!G165</f>
        <v>-1.9000000000000128E-2</v>
      </c>
      <c r="J194" s="26">
        <f>'Clean Swap Data'!H166-'Clean Swap Data'!H165</f>
        <v>-1.6000000000000014E-2</v>
      </c>
      <c r="K194" s="26">
        <f>'Clean Swap Data'!I166-'Clean Swap Data'!I165</f>
        <v>-1.5000000000000124E-2</v>
      </c>
      <c r="L194" s="26">
        <f>'Clean Swap Data'!J166-'Clean Swap Data'!J165</f>
        <v>-1.399999999999979E-2</v>
      </c>
      <c r="M194" s="26">
        <f>'Clean Swap Data'!K166-'Clean Swap Data'!K165</f>
        <v>-1.2999999999999901E-2</v>
      </c>
      <c r="O194" s="23">
        <f ca="1"/>
        <v>-5.3638865700877225E-2</v>
      </c>
      <c r="P194" s="23">
        <f ca="1"/>
        <v>1.1552344127514243E-2</v>
      </c>
      <c r="Q194" s="23">
        <f ca="1"/>
        <v>-3.783203324730193E-4</v>
      </c>
      <c r="S194" s="27">
        <f t="shared" si="25"/>
        <v>-1.2999999999999901E-2</v>
      </c>
      <c r="T194" s="27">
        <f t="shared" si="26"/>
        <v>0</v>
      </c>
      <c r="U194" s="23">
        <f t="shared" si="27"/>
        <v>1.4000000000000234E-2</v>
      </c>
    </row>
    <row r="195" spans="3:21" x14ac:dyDescent="0.2">
      <c r="C195" s="17">
        <f>'Clean Swap Data'!A167</f>
        <v>43451</v>
      </c>
      <c r="D195" s="26">
        <f>'Clean Swap Data'!B167-'Clean Swap Data'!B166</f>
        <v>-2.2000000000000242E-2</v>
      </c>
      <c r="E195" s="26">
        <f>'Clean Swap Data'!C167-'Clean Swap Data'!C166</f>
        <v>-2.0000000000000018E-2</v>
      </c>
      <c r="F195" s="26">
        <f>'Clean Swap Data'!D167-'Clean Swap Data'!D166</f>
        <v>-2.4999999999999911E-2</v>
      </c>
      <c r="G195" s="26">
        <f>'Clean Swap Data'!E167-'Clean Swap Data'!E166</f>
        <v>-2.4000000000000021E-2</v>
      </c>
      <c r="H195" s="26">
        <f>'Clean Swap Data'!F167-'Clean Swap Data'!F166</f>
        <v>-2.4000000000000021E-2</v>
      </c>
      <c r="I195" s="26">
        <f>'Clean Swap Data'!G167-'Clean Swap Data'!G166</f>
        <v>-2.4999999999999911E-2</v>
      </c>
      <c r="J195" s="26">
        <f>'Clean Swap Data'!H167-'Clean Swap Data'!H166</f>
        <v>-2.4999999999999911E-2</v>
      </c>
      <c r="K195" s="26">
        <f>'Clean Swap Data'!I167-'Clean Swap Data'!I166</f>
        <v>-2.4999999999999911E-2</v>
      </c>
      <c r="L195" s="26">
        <f>'Clean Swap Data'!J167-'Clean Swap Data'!J166</f>
        <v>-2.5000000000000355E-2</v>
      </c>
      <c r="M195" s="26">
        <f>'Clean Swap Data'!K167-'Clean Swap Data'!K166</f>
        <v>-2.4999999999999911E-2</v>
      </c>
      <c r="O195" s="23">
        <f ca="1"/>
        <v>-7.4890863632989357E-2</v>
      </c>
      <c r="P195" s="23">
        <f ca="1"/>
        <v>7.18413549641847E-3</v>
      </c>
      <c r="Q195" s="23">
        <f ca="1"/>
        <v>-1.1042880924269187E-2</v>
      </c>
      <c r="S195" s="27">
        <f t="shared" si="25"/>
        <v>-2.4999999999999911E-2</v>
      </c>
      <c r="T195" s="27">
        <f t="shared" si="26"/>
        <v>-2.9999999999996696E-3</v>
      </c>
      <c r="U195" s="23">
        <f t="shared" si="27"/>
        <v>2.9999999999996696E-3</v>
      </c>
    </row>
    <row r="196" spans="3:21" x14ac:dyDescent="0.2">
      <c r="C196" s="17">
        <f>'Clean Swap Data'!A168</f>
        <v>43452</v>
      </c>
      <c r="D196" s="26">
        <f>'Clean Swap Data'!B168-'Clean Swap Data'!B167</f>
        <v>-3.7999999999999812E-2</v>
      </c>
      <c r="E196" s="26">
        <f>'Clean Swap Data'!C168-'Clean Swap Data'!C167</f>
        <v>-5.7999999999999829E-2</v>
      </c>
      <c r="F196" s="26">
        <f>'Clean Swap Data'!D168-'Clean Swap Data'!D167</f>
        <v>-5.9000000000000163E-2</v>
      </c>
      <c r="G196" s="26">
        <f>'Clean Swap Data'!E168-'Clean Swap Data'!E167</f>
        <v>-5.4999999999999716E-2</v>
      </c>
      <c r="H196" s="26">
        <f>'Clean Swap Data'!F168-'Clean Swap Data'!F167</f>
        <v>-5.0000000000000266E-2</v>
      </c>
      <c r="I196" s="26">
        <f>'Clean Swap Data'!G168-'Clean Swap Data'!G167</f>
        <v>-4.7000000000000153E-2</v>
      </c>
      <c r="J196" s="26">
        <f>'Clean Swap Data'!H168-'Clean Swap Data'!H167</f>
        <v>-4.4000000000000039E-2</v>
      </c>
      <c r="K196" s="26">
        <f>'Clean Swap Data'!I168-'Clean Swap Data'!I167</f>
        <v>-4.0999999999999925E-2</v>
      </c>
      <c r="L196" s="26">
        <f>'Clean Swap Data'!J168-'Clean Swap Data'!J167</f>
        <v>-3.9999999999999591E-2</v>
      </c>
      <c r="M196" s="26">
        <f>'Clean Swap Data'!K168-'Clean Swap Data'!K167</f>
        <v>-3.7999999999999812E-2</v>
      </c>
      <c r="O196" s="23">
        <f ca="1"/>
        <v>-0.14618730929488444</v>
      </c>
      <c r="P196" s="23">
        <f ca="1"/>
        <v>3.5863394114975383E-2</v>
      </c>
      <c r="Q196" s="23">
        <f ca="1"/>
        <v>-3.2601557227926537E-3</v>
      </c>
      <c r="S196" s="27">
        <f t="shared" si="25"/>
        <v>-3.7999999999999812E-2</v>
      </c>
      <c r="T196" s="27">
        <f t="shared" si="26"/>
        <v>0</v>
      </c>
      <c r="U196" s="23">
        <f t="shared" si="27"/>
        <v>4.2000000000000703E-2</v>
      </c>
    </row>
    <row r="197" spans="3:21" x14ac:dyDescent="0.2">
      <c r="C197" s="17">
        <f>'Clean Swap Data'!A169</f>
        <v>43472</v>
      </c>
      <c r="D197" s="26">
        <f>'Clean Swap Data'!B169-'Clean Swap Data'!B168</f>
        <v>-5.300000000000038E-2</v>
      </c>
      <c r="E197" s="26">
        <f>'Clean Swap Data'!C169-'Clean Swap Data'!C168</f>
        <v>-0.15200000000000014</v>
      </c>
      <c r="F197" s="26">
        <f>'Clean Swap Data'!D169-'Clean Swap Data'!D168</f>
        <v>-0.18599999999999994</v>
      </c>
      <c r="G197" s="26">
        <f>'Clean Swap Data'!E169-'Clean Swap Data'!E168</f>
        <v>-0.19900000000000029</v>
      </c>
      <c r="H197" s="26">
        <f>'Clean Swap Data'!F169-'Clean Swap Data'!F168</f>
        <v>-0.19799999999999995</v>
      </c>
      <c r="I197" s="26">
        <f>'Clean Swap Data'!G169-'Clean Swap Data'!G168</f>
        <v>-0.19399999999999995</v>
      </c>
      <c r="J197" s="26">
        <f>'Clean Swap Data'!H169-'Clean Swap Data'!H168</f>
        <v>-0.19099999999999984</v>
      </c>
      <c r="K197" s="26">
        <f>'Clean Swap Data'!I169-'Clean Swap Data'!I168</f>
        <v>-0.18800000000000017</v>
      </c>
      <c r="L197" s="26">
        <f>'Clean Swap Data'!J169-'Clean Swap Data'!J168</f>
        <v>-0.18400000000000016</v>
      </c>
      <c r="M197" s="26">
        <f>'Clean Swap Data'!K169-'Clean Swap Data'!K168</f>
        <v>-0.17900000000000027</v>
      </c>
      <c r="O197" s="23">
        <f ca="1"/>
        <v>-0.56047118976590393</v>
      </c>
      <c r="P197" s="23">
        <f ca="1"/>
        <v>5.7277254066321615E-3</v>
      </c>
      <c r="Q197" s="23">
        <f ca="1"/>
        <v>2.1188892997326209E-2</v>
      </c>
      <c r="S197" s="27">
        <f t="shared" si="25"/>
        <v>-0.17900000000000027</v>
      </c>
      <c r="T197" s="27">
        <f t="shared" si="26"/>
        <v>-0.12599999999999989</v>
      </c>
      <c r="U197" s="23">
        <f t="shared" si="27"/>
        <v>0.13999999999999924</v>
      </c>
    </row>
    <row r="198" spans="3:21" x14ac:dyDescent="0.2">
      <c r="C198" s="17">
        <f>'Clean Swap Data'!A170</f>
        <v>43474</v>
      </c>
      <c r="D198" s="26">
        <f>'Clean Swap Data'!B170-'Clean Swap Data'!B169</f>
        <v>2.3000000000000131E-2</v>
      </c>
      <c r="E198" s="26">
        <f>'Clean Swap Data'!C170-'Clean Swap Data'!C169</f>
        <v>5.7999999999999829E-2</v>
      </c>
      <c r="F198" s="26">
        <f>'Clean Swap Data'!D170-'Clean Swap Data'!D169</f>
        <v>6.7000000000000171E-2</v>
      </c>
      <c r="G198" s="26">
        <f>'Clean Swap Data'!E170-'Clean Swap Data'!E169</f>
        <v>6.7000000000000171E-2</v>
      </c>
      <c r="H198" s="26">
        <f>'Clean Swap Data'!F170-'Clean Swap Data'!F169</f>
        <v>6.4999999999999947E-2</v>
      </c>
      <c r="I198" s="26">
        <f>'Clean Swap Data'!G170-'Clean Swap Data'!G169</f>
        <v>6.3000000000000167E-2</v>
      </c>
      <c r="J198" s="26">
        <f>'Clean Swap Data'!H170-'Clean Swap Data'!H169</f>
        <v>6.1999999999999833E-2</v>
      </c>
      <c r="K198" s="26">
        <f>'Clean Swap Data'!I170-'Clean Swap Data'!I169</f>
        <v>6.0000000000000053E-2</v>
      </c>
      <c r="L198" s="26">
        <f>'Clean Swap Data'!J170-'Clean Swap Data'!J169</f>
        <v>6.0000000000000053E-2</v>
      </c>
      <c r="M198" s="26">
        <f>'Clean Swap Data'!K170-'Clean Swap Data'!K169</f>
        <v>5.699999999999994E-2</v>
      </c>
      <c r="O198" s="23">
        <f ca="1"/>
        <v>0.18748971964400948</v>
      </c>
      <c r="P198" s="23">
        <f ca="1"/>
        <v>-1.2480914324824781E-2</v>
      </c>
      <c r="Q198" s="23">
        <f ca="1"/>
        <v>-6.6541380836443609E-3</v>
      </c>
      <c r="S198" s="27">
        <f t="shared" si="25"/>
        <v>5.699999999999994E-2</v>
      </c>
      <c r="T198" s="27">
        <f t="shared" si="26"/>
        <v>3.3999999999999808E-2</v>
      </c>
      <c r="U198" s="23">
        <f t="shared" si="27"/>
        <v>-5.400000000000027E-2</v>
      </c>
    </row>
    <row r="199" spans="3:21" x14ac:dyDescent="0.2">
      <c r="C199" s="17">
        <f>'Clean Swap Data'!A171</f>
        <v>43475</v>
      </c>
      <c r="D199" s="26">
        <f>'Clean Swap Data'!B171-'Clean Swap Data'!B170</f>
        <v>4.9999999999998934E-3</v>
      </c>
      <c r="E199" s="26">
        <f>'Clean Swap Data'!C171-'Clean Swap Data'!C170</f>
        <v>-1.0999999999999677E-2</v>
      </c>
      <c r="F199" s="26">
        <f>'Clean Swap Data'!D171-'Clean Swap Data'!D170</f>
        <v>-1.2999999999999901E-2</v>
      </c>
      <c r="G199" s="26">
        <f>'Clean Swap Data'!E171-'Clean Swap Data'!E170</f>
        <v>-8.999999999999897E-3</v>
      </c>
      <c r="H199" s="26">
        <f>'Clean Swap Data'!F171-'Clean Swap Data'!F170</f>
        <v>-7.999999999999563E-3</v>
      </c>
      <c r="I199" s="26">
        <f>'Clean Swap Data'!G171-'Clean Swap Data'!G170</f>
        <v>-4.9999999999998934E-3</v>
      </c>
      <c r="J199" s="26">
        <f>'Clean Swap Data'!H171-'Clean Swap Data'!H170</f>
        <v>-4.0000000000000036E-3</v>
      </c>
      <c r="K199" s="26">
        <f>'Clean Swap Data'!I171-'Clean Swap Data'!I170</f>
        <v>-4.0000000000000036E-3</v>
      </c>
      <c r="L199" s="26">
        <f>'Clean Swap Data'!J171-'Clean Swap Data'!J170</f>
        <v>-4.0000000000000036E-3</v>
      </c>
      <c r="M199" s="26">
        <f>'Clean Swap Data'!K171-'Clean Swap Data'!K170</f>
        <v>-1.9999999999997797E-3</v>
      </c>
      <c r="O199" s="23">
        <f ca="1"/>
        <v>-1.874917759747622E-2</v>
      </c>
      <c r="P199" s="23">
        <f ca="1"/>
        <v>5.8593995809553892E-3</v>
      </c>
      <c r="Q199" s="23">
        <f ca="1"/>
        <v>1.1829656051188254E-2</v>
      </c>
      <c r="S199" s="27">
        <f t="shared" si="25"/>
        <v>-1.9999999999997797E-3</v>
      </c>
      <c r="T199" s="27">
        <f t="shared" si="26"/>
        <v>-6.9999999999996732E-3</v>
      </c>
      <c r="U199" s="23">
        <f t="shared" si="27"/>
        <v>2.8999999999999915E-2</v>
      </c>
    </row>
    <row r="200" spans="3:21" x14ac:dyDescent="0.2">
      <c r="C200" s="17">
        <f>'Clean Swap Data'!A172</f>
        <v>43479</v>
      </c>
      <c r="D200" s="26">
        <f>'Clean Swap Data'!B172-'Clean Swap Data'!B171</f>
        <v>-1.399999999999979E-2</v>
      </c>
      <c r="E200" s="26">
        <f>'Clean Swap Data'!C172-'Clean Swap Data'!C171</f>
        <v>-2.0000000000002238E-3</v>
      </c>
      <c r="F200" s="26">
        <f>'Clean Swap Data'!D172-'Clean Swap Data'!D171</f>
        <v>-2.0000000000002238E-3</v>
      </c>
      <c r="G200" s="26">
        <f>'Clean Swap Data'!E172-'Clean Swap Data'!E171</f>
        <v>-6.0000000000002274E-3</v>
      </c>
      <c r="H200" s="26">
        <f>'Clean Swap Data'!F172-'Clean Swap Data'!F171</f>
        <v>-7.0000000000001172E-3</v>
      </c>
      <c r="I200" s="26">
        <f>'Clean Swap Data'!G172-'Clean Swap Data'!G171</f>
        <v>-1.0000000000000231E-2</v>
      </c>
      <c r="J200" s="26">
        <f>'Clean Swap Data'!H172-'Clean Swap Data'!H171</f>
        <v>-1.2000000000000011E-2</v>
      </c>
      <c r="K200" s="26">
        <f>'Clean Swap Data'!I172-'Clean Swap Data'!I171</f>
        <v>-1.1000000000000121E-2</v>
      </c>
      <c r="L200" s="26">
        <f>'Clean Swap Data'!J172-'Clean Swap Data'!J171</f>
        <v>-1.2000000000000011E-2</v>
      </c>
      <c r="M200" s="26">
        <f>'Clean Swap Data'!K172-'Clean Swap Data'!K171</f>
        <v>-1.2999999999999901E-2</v>
      </c>
      <c r="O200" s="23">
        <f ca="1"/>
        <v>-2.70415858535538E-2</v>
      </c>
      <c r="P200" s="23">
        <f ca="1"/>
        <v>-3.523031269177755E-3</v>
      </c>
      <c r="Q200" s="23">
        <f ca="1"/>
        <v>-1.4682689249761858E-2</v>
      </c>
      <c r="S200" s="27">
        <f t="shared" si="25"/>
        <v>-1.2999999999999901E-2</v>
      </c>
      <c r="T200" s="27">
        <f t="shared" si="26"/>
        <v>9.9999999999988987E-4</v>
      </c>
      <c r="U200" s="23">
        <f t="shared" si="27"/>
        <v>-2.2999999999999243E-2</v>
      </c>
    </row>
    <row r="201" spans="3:21" x14ac:dyDescent="0.2">
      <c r="C201" s="17">
        <f>'Clean Swap Data'!A173</f>
        <v>43481</v>
      </c>
      <c r="D201" s="26">
        <f>'Clean Swap Data'!B173-'Clean Swap Data'!B172</f>
        <v>1.9999999999997797E-3</v>
      </c>
      <c r="E201" s="26">
        <f>'Clean Swap Data'!C173-'Clean Swap Data'!C172</f>
        <v>2.0000000000000018E-2</v>
      </c>
      <c r="F201" s="26">
        <f>'Clean Swap Data'!D173-'Clean Swap Data'!D172</f>
        <v>2.4999999999999911E-2</v>
      </c>
      <c r="G201" s="26">
        <f>'Clean Swap Data'!E173-'Clean Swap Data'!E172</f>
        <v>2.7000000000000135E-2</v>
      </c>
      <c r="H201" s="26">
        <f>'Clean Swap Data'!F173-'Clean Swap Data'!F172</f>
        <v>2.8000000000000025E-2</v>
      </c>
      <c r="I201" s="26">
        <f>'Clean Swap Data'!G173-'Clean Swap Data'!G172</f>
        <v>2.8999999999999915E-2</v>
      </c>
      <c r="J201" s="26">
        <f>'Clean Swap Data'!H173-'Clean Swap Data'!H172</f>
        <v>2.8999999999999915E-2</v>
      </c>
      <c r="K201" s="26">
        <f>'Clean Swap Data'!I173-'Clean Swap Data'!I172</f>
        <v>2.9000000000000359E-2</v>
      </c>
      <c r="L201" s="26">
        <f>'Clean Swap Data'!J173-'Clean Swap Data'!J172</f>
        <v>2.8999999999999915E-2</v>
      </c>
      <c r="M201" s="26">
        <f>'Clean Swap Data'!K173-'Clean Swap Data'!K172</f>
        <v>2.9999999999999805E-2</v>
      </c>
      <c r="O201" s="23">
        <f ca="1"/>
        <v>8.2036989708886288E-2</v>
      </c>
      <c r="P201" s="23">
        <f ca="1"/>
        <v>7.1369137508191394E-3</v>
      </c>
      <c r="Q201" s="23">
        <f ca="1"/>
        <v>-4.8804859885006749E-3</v>
      </c>
      <c r="S201" s="27">
        <f t="shared" si="25"/>
        <v>2.9999999999999805E-2</v>
      </c>
      <c r="T201" s="27">
        <f t="shared" si="26"/>
        <v>2.8000000000000025E-2</v>
      </c>
      <c r="U201" s="23">
        <f t="shared" si="27"/>
        <v>-1.8000000000000238E-2</v>
      </c>
    </row>
    <row r="202" spans="3:21" x14ac:dyDescent="0.2">
      <c r="C202" s="17">
        <f>'Clean Swap Data'!A174</f>
        <v>43487</v>
      </c>
      <c r="D202" s="26">
        <f>'Clean Swap Data'!B174-'Clean Swap Data'!B173</f>
        <v>7.0000000000001172E-3</v>
      </c>
      <c r="E202" s="26">
        <f>'Clean Swap Data'!C174-'Clean Swap Data'!C173</f>
        <v>2.4000000000000021E-2</v>
      </c>
      <c r="F202" s="26">
        <f>'Clean Swap Data'!D174-'Clean Swap Data'!D173</f>
        <v>2.9000000000000359E-2</v>
      </c>
      <c r="G202" s="26">
        <f>'Clean Swap Data'!E174-'Clean Swap Data'!E173</f>
        <v>2.9999999999999805E-2</v>
      </c>
      <c r="H202" s="26">
        <f>'Clean Swap Data'!F174-'Clean Swap Data'!F173</f>
        <v>2.9999999999999805E-2</v>
      </c>
      <c r="I202" s="26">
        <f>'Clean Swap Data'!G174-'Clean Swap Data'!G173</f>
        <v>3.0000000000000249E-2</v>
      </c>
      <c r="J202" s="26">
        <f>'Clean Swap Data'!H174-'Clean Swap Data'!H173</f>
        <v>3.1000000000000139E-2</v>
      </c>
      <c r="K202" s="26">
        <f>'Clean Swap Data'!I174-'Clean Swap Data'!I173</f>
        <v>2.9999999999999805E-2</v>
      </c>
      <c r="L202" s="26">
        <f>'Clean Swap Data'!J174-'Clean Swap Data'!J173</f>
        <v>2.9999999999999805E-2</v>
      </c>
      <c r="M202" s="26">
        <f>'Clean Swap Data'!K174-'Clean Swap Data'!K173</f>
        <v>2.8000000000000025E-2</v>
      </c>
      <c r="O202" s="23">
        <f ca="1"/>
        <v>8.7716160244756203E-2</v>
      </c>
      <c r="P202" s="23">
        <f ca="1"/>
        <v>6.7853483363240243E-4</v>
      </c>
      <c r="Q202" s="23">
        <f ca="1"/>
        <v>-3.69669575967834E-3</v>
      </c>
      <c r="S202" s="27">
        <f t="shared" si="25"/>
        <v>2.8000000000000025E-2</v>
      </c>
      <c r="T202" s="27">
        <f t="shared" si="26"/>
        <v>2.0999999999999908E-2</v>
      </c>
      <c r="U202" s="23">
        <f t="shared" si="27"/>
        <v>-2.3000000000000576E-2</v>
      </c>
    </row>
    <row r="203" spans="3:21" x14ac:dyDescent="0.2">
      <c r="C203" s="17">
        <f>'Clean Swap Data'!A175</f>
        <v>43488</v>
      </c>
      <c r="D203" s="26">
        <f>'Clean Swap Data'!B175-'Clean Swap Data'!B174</f>
        <v>8.0000000000000071E-3</v>
      </c>
      <c r="E203" s="26">
        <f>'Clean Swap Data'!C175-'Clean Swap Data'!C174</f>
        <v>-1.9999999999997797E-3</v>
      </c>
      <c r="F203" s="26">
        <f>'Clean Swap Data'!D175-'Clean Swap Data'!D174</f>
        <v>-4.0000000000000036E-3</v>
      </c>
      <c r="G203" s="26">
        <f>'Clean Swap Data'!E175-'Clean Swap Data'!E174</f>
        <v>-5.9999999999997833E-3</v>
      </c>
      <c r="H203" s="26">
        <f>'Clean Swap Data'!F175-'Clean Swap Data'!F174</f>
        <v>-5.9999999999997833E-3</v>
      </c>
      <c r="I203" s="26">
        <f>'Clean Swap Data'!G175-'Clean Swap Data'!G174</f>
        <v>-4.9999999999998934E-3</v>
      </c>
      <c r="J203" s="26">
        <f>'Clean Swap Data'!H175-'Clean Swap Data'!H174</f>
        <v>-4.9999999999998934E-3</v>
      </c>
      <c r="K203" s="26">
        <f>'Clean Swap Data'!I175-'Clean Swap Data'!I174</f>
        <v>-4.0000000000000036E-3</v>
      </c>
      <c r="L203" s="26">
        <f>'Clean Swap Data'!J175-'Clean Swap Data'!J174</f>
        <v>-4.0000000000000036E-3</v>
      </c>
      <c r="M203" s="26">
        <f>'Clean Swap Data'!K175-'Clean Swap Data'!K174</f>
        <v>-4.0000000000000036E-3</v>
      </c>
      <c r="O203" s="23">
        <f ca="1"/>
        <v>-1.2438899292975836E-2</v>
      </c>
      <c r="P203" s="23">
        <f ca="1"/>
        <v>-4.913710162632463E-3</v>
      </c>
      <c r="Q203" s="23">
        <f ca="1"/>
        <v>8.4862873169598667E-3</v>
      </c>
      <c r="S203" s="27">
        <f t="shared" si="25"/>
        <v>-4.0000000000000036E-3</v>
      </c>
      <c r="T203" s="27">
        <f t="shared" si="26"/>
        <v>-1.2000000000000011E-2</v>
      </c>
      <c r="U203" s="23">
        <f t="shared" si="27"/>
        <v>1.2000000000000011E-2</v>
      </c>
    </row>
    <row r="204" spans="3:21" x14ac:dyDescent="0.2">
      <c r="C204" s="17">
        <f>'Clean Swap Data'!A176</f>
        <v>43489</v>
      </c>
      <c r="D204" s="26">
        <f>'Clean Swap Data'!B176-'Clean Swap Data'!B175</f>
        <v>-1.2000000000000011E-2</v>
      </c>
      <c r="E204" s="26">
        <f>'Clean Swap Data'!C176-'Clean Swap Data'!C175</f>
        <v>-2.1000000000000352E-2</v>
      </c>
      <c r="F204" s="26">
        <f>'Clean Swap Data'!D176-'Clean Swap Data'!D175</f>
        <v>-2.8000000000000025E-2</v>
      </c>
      <c r="G204" s="26">
        <f>'Clean Swap Data'!E176-'Clean Swap Data'!E175</f>
        <v>-3.2999999999999918E-2</v>
      </c>
      <c r="H204" s="26">
        <f>'Clean Swap Data'!F176-'Clean Swap Data'!F175</f>
        <v>-3.5000000000000142E-2</v>
      </c>
      <c r="I204" s="26">
        <f>'Clean Swap Data'!G176-'Clean Swap Data'!G175</f>
        <v>-3.5000000000000142E-2</v>
      </c>
      <c r="J204" s="26">
        <f>'Clean Swap Data'!H176-'Clean Swap Data'!H175</f>
        <v>-3.5000000000000142E-2</v>
      </c>
      <c r="K204" s="26">
        <f>'Clean Swap Data'!I176-'Clean Swap Data'!I175</f>
        <v>-3.5000000000000142E-2</v>
      </c>
      <c r="L204" s="26">
        <f>'Clean Swap Data'!J176-'Clean Swap Data'!J175</f>
        <v>-3.4999999999999698E-2</v>
      </c>
      <c r="M204" s="26">
        <f>'Clean Swap Data'!K176-'Clean Swap Data'!K175</f>
        <v>-3.3999999999999808E-2</v>
      </c>
      <c r="O204" s="23">
        <f ca="1"/>
        <v>-9.8438048415960919E-2</v>
      </c>
      <c r="P204" s="23">
        <f ca="1"/>
        <v>-5.0445941344546795E-3</v>
      </c>
      <c r="Q204" s="23">
        <f ca="1"/>
        <v>-2.7501734080260009E-3</v>
      </c>
      <c r="S204" s="27">
        <f t="shared" si="25"/>
        <v>-3.3999999999999808E-2</v>
      </c>
      <c r="T204" s="27">
        <f t="shared" si="26"/>
        <v>-2.1999999999999797E-2</v>
      </c>
      <c r="U204" s="23">
        <f t="shared" si="27"/>
        <v>1.0000000000000231E-2</v>
      </c>
    </row>
    <row r="205" spans="3:21" x14ac:dyDescent="0.2">
      <c r="C205" s="17">
        <f>'Clean Swap Data'!A177</f>
        <v>43493</v>
      </c>
      <c r="D205" s="26">
        <f>'Clean Swap Data'!B177-'Clean Swap Data'!B176</f>
        <v>-4.9999999999998934E-3</v>
      </c>
      <c r="E205" s="26">
        <f>'Clean Swap Data'!C177-'Clean Swap Data'!C176</f>
        <v>1.5000000000000124E-2</v>
      </c>
      <c r="F205" s="26">
        <f>'Clean Swap Data'!D177-'Clean Swap Data'!D176</f>
        <v>2.4000000000000021E-2</v>
      </c>
      <c r="G205" s="26">
        <f>'Clean Swap Data'!E177-'Clean Swap Data'!E176</f>
        <v>2.6999999999999691E-2</v>
      </c>
      <c r="H205" s="26">
        <f>'Clean Swap Data'!F177-'Clean Swap Data'!F176</f>
        <v>2.8999999999999915E-2</v>
      </c>
      <c r="I205" s="26">
        <f>'Clean Swap Data'!G177-'Clean Swap Data'!G176</f>
        <v>2.8000000000000025E-2</v>
      </c>
      <c r="J205" s="26">
        <f>'Clean Swap Data'!H177-'Clean Swap Data'!H176</f>
        <v>2.7000000000000135E-2</v>
      </c>
      <c r="K205" s="26">
        <f>'Clean Swap Data'!I177-'Clean Swap Data'!I176</f>
        <v>2.5000000000000355E-2</v>
      </c>
      <c r="L205" s="26">
        <f>'Clean Swap Data'!J177-'Clean Swap Data'!J176</f>
        <v>2.4999999999999911E-2</v>
      </c>
      <c r="M205" s="26">
        <f>'Clean Swap Data'!K177-'Clean Swap Data'!K176</f>
        <v>2.2999999999999687E-2</v>
      </c>
      <c r="O205" s="23">
        <f ca="1"/>
        <v>7.3775607206333263E-2</v>
      </c>
      <c r="P205" s="23">
        <f ca="1"/>
        <v>8.1035946785650553E-3</v>
      </c>
      <c r="Q205" s="23">
        <f ca="1"/>
        <v>-1.2240334811806109E-2</v>
      </c>
      <c r="S205" s="27">
        <f t="shared" si="25"/>
        <v>2.2999999999999687E-2</v>
      </c>
      <c r="T205" s="27">
        <f t="shared" si="26"/>
        <v>2.7999999999999581E-2</v>
      </c>
      <c r="U205" s="23">
        <f t="shared" si="27"/>
        <v>-3.0000000000000249E-2</v>
      </c>
    </row>
    <row r="206" spans="3:21" x14ac:dyDescent="0.2">
      <c r="C206" s="17">
        <f>'Clean Swap Data'!A178</f>
        <v>43494</v>
      </c>
      <c r="D206" s="26">
        <f>'Clean Swap Data'!B178-'Clean Swap Data'!B177</f>
        <v>-1.0000000000000231E-2</v>
      </c>
      <c r="E206" s="26">
        <f>'Clean Swap Data'!C178-'Clean Swap Data'!C177</f>
        <v>-2.4999999999999911E-2</v>
      </c>
      <c r="F206" s="26">
        <f>'Clean Swap Data'!D178-'Clean Swap Data'!D177</f>
        <v>-2.7000000000000135E-2</v>
      </c>
      <c r="G206" s="26">
        <f>'Clean Swap Data'!E178-'Clean Swap Data'!E177</f>
        <v>-2.8000000000000025E-2</v>
      </c>
      <c r="H206" s="26">
        <f>'Clean Swap Data'!F178-'Clean Swap Data'!F177</f>
        <v>-2.8000000000000025E-2</v>
      </c>
      <c r="I206" s="26">
        <f>'Clean Swap Data'!G178-'Clean Swap Data'!G177</f>
        <v>-2.7000000000000135E-2</v>
      </c>
      <c r="J206" s="26">
        <f>'Clean Swap Data'!H178-'Clean Swap Data'!H177</f>
        <v>-2.7000000000000135E-2</v>
      </c>
      <c r="K206" s="26">
        <f>'Clean Swap Data'!I178-'Clean Swap Data'!I177</f>
        <v>-2.4000000000000021E-2</v>
      </c>
      <c r="L206" s="26">
        <f>'Clean Swap Data'!J178-'Clean Swap Data'!J177</f>
        <v>-2.3000000000000131E-2</v>
      </c>
      <c r="M206" s="26">
        <f>'Clean Swap Data'!K178-'Clean Swap Data'!K177</f>
        <v>-2.0999999999999908E-2</v>
      </c>
      <c r="O206" s="23">
        <f ca="1"/>
        <v>-7.7159317836491506E-2</v>
      </c>
      <c r="P206" s="23">
        <f ca="1"/>
        <v>7.220028918242135E-3</v>
      </c>
      <c r="Q206" s="23">
        <f ca="1"/>
        <v>3.5376516029792457E-3</v>
      </c>
      <c r="S206" s="27">
        <f t="shared" si="25"/>
        <v>-2.0999999999999908E-2</v>
      </c>
      <c r="T206" s="27">
        <f t="shared" si="26"/>
        <v>-1.0999999999999677E-2</v>
      </c>
      <c r="U206" s="23">
        <f t="shared" si="27"/>
        <v>2.3000000000000131E-2</v>
      </c>
    </row>
    <row r="207" spans="3:21" x14ac:dyDescent="0.2">
      <c r="C207" s="17">
        <f>'Clean Swap Data'!A179</f>
        <v>43495</v>
      </c>
      <c r="D207" s="26">
        <f>'Clean Swap Data'!B179-'Clean Swap Data'!B178</f>
        <v>-2.0999999999999908E-2</v>
      </c>
      <c r="E207" s="26">
        <f>'Clean Swap Data'!C179-'Clean Swap Data'!C178</f>
        <v>1.2999999999999901E-2</v>
      </c>
      <c r="F207" s="26">
        <f>'Clean Swap Data'!D179-'Clean Swap Data'!D178</f>
        <v>1.1000000000000121E-2</v>
      </c>
      <c r="G207" s="26">
        <f>'Clean Swap Data'!E179-'Clean Swap Data'!E178</f>
        <v>1.2000000000000011E-2</v>
      </c>
      <c r="H207" s="26">
        <f>'Clean Swap Data'!F179-'Clean Swap Data'!F178</f>
        <v>1.1000000000000121E-2</v>
      </c>
      <c r="I207" s="26">
        <f>'Clean Swap Data'!G179-'Clean Swap Data'!G178</f>
        <v>1.1000000000000121E-2</v>
      </c>
      <c r="J207" s="26">
        <f>'Clean Swap Data'!H179-'Clean Swap Data'!H178</f>
        <v>1.1000000000000121E-2</v>
      </c>
      <c r="K207" s="26">
        <f>'Clean Swap Data'!I179-'Clean Swap Data'!I178</f>
        <v>8.999999999999897E-3</v>
      </c>
      <c r="L207" s="26">
        <f>'Clean Swap Data'!J179-'Clean Swap Data'!J178</f>
        <v>8.0000000000000071E-3</v>
      </c>
      <c r="M207" s="26">
        <f>'Clean Swap Data'!K179-'Clean Swap Data'!K178</f>
        <v>7.0000000000001172E-3</v>
      </c>
      <c r="O207" s="23">
        <f ca="1"/>
        <v>2.7993395671172337E-2</v>
      </c>
      <c r="P207" s="23">
        <f ca="1"/>
        <v>7.1330338014132036E-3</v>
      </c>
      <c r="Q207" s="23">
        <f ca="1"/>
        <v>-2.3989045757038838E-2</v>
      </c>
      <c r="S207" s="27">
        <f t="shared" si="25"/>
        <v>7.0000000000001172E-3</v>
      </c>
      <c r="T207" s="27">
        <f t="shared" si="26"/>
        <v>2.8000000000000025E-2</v>
      </c>
      <c r="U207" s="23">
        <f t="shared" si="27"/>
        <v>-3.6000000000000032E-2</v>
      </c>
    </row>
    <row r="208" spans="3:21" x14ac:dyDescent="0.2">
      <c r="C208" s="17">
        <f>'Clean Swap Data'!A180</f>
        <v>43496</v>
      </c>
      <c r="D208" s="26">
        <f>'Clean Swap Data'!B180-'Clean Swap Data'!B179</f>
        <v>-4.0000000000000036E-2</v>
      </c>
      <c r="E208" s="26">
        <f>'Clean Swap Data'!C180-'Clean Swap Data'!C179</f>
        <v>-9.5000000000000195E-2</v>
      </c>
      <c r="F208" s="26">
        <f>'Clean Swap Data'!D180-'Clean Swap Data'!D179</f>
        <v>-9.9000000000000199E-2</v>
      </c>
      <c r="G208" s="26">
        <f>'Clean Swap Data'!E180-'Clean Swap Data'!E179</f>
        <v>-9.7999999999999865E-2</v>
      </c>
      <c r="H208" s="26">
        <f>'Clean Swap Data'!F180-'Clean Swap Data'!F179</f>
        <v>-9.5000000000000195E-2</v>
      </c>
      <c r="I208" s="26">
        <f>'Clean Swap Data'!G180-'Clean Swap Data'!G179</f>
        <v>-9.2000000000000082E-2</v>
      </c>
      <c r="J208" s="26">
        <f>'Clean Swap Data'!H180-'Clean Swap Data'!H179</f>
        <v>-8.9999999999999858E-2</v>
      </c>
      <c r="K208" s="26">
        <f>'Clean Swap Data'!I180-'Clean Swap Data'!I179</f>
        <v>-8.7000000000000188E-2</v>
      </c>
      <c r="L208" s="26">
        <f>'Clean Swap Data'!J180-'Clean Swap Data'!J179</f>
        <v>-8.4999999999999964E-2</v>
      </c>
      <c r="M208" s="26">
        <f>'Clean Swap Data'!K180-'Clean Swap Data'!K179</f>
        <v>-8.3000000000000185E-2</v>
      </c>
      <c r="O208" s="23">
        <f ca="1"/>
        <v>-0.27640240711999819</v>
      </c>
      <c r="P208" s="23">
        <f ca="1"/>
        <v>2.8013995236505988E-2</v>
      </c>
      <c r="Q208" s="23">
        <f ca="1"/>
        <v>7.5523486936423939E-3</v>
      </c>
      <c r="S208" s="27">
        <f t="shared" si="25"/>
        <v>-8.3000000000000185E-2</v>
      </c>
      <c r="T208" s="27">
        <f t="shared" si="26"/>
        <v>-4.3000000000000149E-2</v>
      </c>
      <c r="U208" s="23">
        <f t="shared" si="27"/>
        <v>7.5000000000000178E-2</v>
      </c>
    </row>
    <row r="209" spans="3:21" x14ac:dyDescent="0.2">
      <c r="C209" s="17">
        <f>'Clean Swap Data'!A181</f>
        <v>43497</v>
      </c>
      <c r="D209" s="26">
        <f>'Clean Swap Data'!B181-'Clean Swap Data'!B180</f>
        <v>1.9000000000000128E-2</v>
      </c>
      <c r="E209" s="26">
        <f>'Clean Swap Data'!C181-'Clean Swap Data'!C180</f>
        <v>2.8000000000000025E-2</v>
      </c>
      <c r="F209" s="26">
        <f>'Clean Swap Data'!D181-'Clean Swap Data'!D180</f>
        <v>3.5000000000000142E-2</v>
      </c>
      <c r="G209" s="26">
        <f>'Clean Swap Data'!E181-'Clean Swap Data'!E180</f>
        <v>4.2000000000000259E-2</v>
      </c>
      <c r="H209" s="26">
        <f>'Clean Swap Data'!F181-'Clean Swap Data'!F180</f>
        <v>4.0000000000000036E-2</v>
      </c>
      <c r="I209" s="26">
        <f>'Clean Swap Data'!G181-'Clean Swap Data'!G180</f>
        <v>3.9000000000000146E-2</v>
      </c>
      <c r="J209" s="26">
        <f>'Clean Swap Data'!H181-'Clean Swap Data'!H180</f>
        <v>3.8999999999999702E-2</v>
      </c>
      <c r="K209" s="26">
        <f>'Clean Swap Data'!I181-'Clean Swap Data'!I180</f>
        <v>3.6999999999999922E-2</v>
      </c>
      <c r="L209" s="26">
        <f>'Clean Swap Data'!J181-'Clean Swap Data'!J180</f>
        <v>3.6000000000000032E-2</v>
      </c>
      <c r="M209" s="26">
        <f>'Clean Swap Data'!K181-'Clean Swap Data'!K180</f>
        <v>3.6000000000000032E-2</v>
      </c>
      <c r="O209" s="23">
        <f ca="1"/>
        <v>0.11257121275933216</v>
      </c>
      <c r="P209" s="23">
        <f ca="1"/>
        <v>-4.1305158216613392E-3</v>
      </c>
      <c r="Q209" s="23">
        <f ca="1"/>
        <v>3.3048984854629595E-3</v>
      </c>
      <c r="S209" s="27">
        <f t="shared" si="25"/>
        <v>3.6000000000000032E-2</v>
      </c>
      <c r="T209" s="27">
        <f t="shared" si="26"/>
        <v>1.6999999999999904E-2</v>
      </c>
      <c r="U209" s="23">
        <f t="shared" si="27"/>
        <v>-1.5000000000000124E-2</v>
      </c>
    </row>
    <row r="210" spans="3:21" x14ac:dyDescent="0.2">
      <c r="C210" s="17">
        <f>'Clean Swap Data'!A182</f>
        <v>43500</v>
      </c>
      <c r="D210" s="26">
        <f>'Clean Swap Data'!B182-'Clean Swap Data'!B181</f>
        <v>1.2000000000000011E-2</v>
      </c>
      <c r="E210" s="26">
        <f>'Clean Swap Data'!C182-'Clean Swap Data'!C181</f>
        <v>2.1000000000000352E-2</v>
      </c>
      <c r="F210" s="26">
        <f>'Clean Swap Data'!D182-'Clean Swap Data'!D181</f>
        <v>2.8000000000000025E-2</v>
      </c>
      <c r="G210" s="26">
        <f>'Clean Swap Data'!E182-'Clean Swap Data'!E181</f>
        <v>2.9999999999999805E-2</v>
      </c>
      <c r="H210" s="26">
        <f>'Clean Swap Data'!F182-'Clean Swap Data'!F181</f>
        <v>3.6999999999999922E-2</v>
      </c>
      <c r="I210" s="26">
        <f>'Clean Swap Data'!G182-'Clean Swap Data'!G181</f>
        <v>3.8999999999999702E-2</v>
      </c>
      <c r="J210" s="26">
        <f>'Clean Swap Data'!H182-'Clean Swap Data'!H181</f>
        <v>4.0999999999999925E-2</v>
      </c>
      <c r="K210" s="26">
        <f>'Clean Swap Data'!I182-'Clean Swap Data'!I181</f>
        <v>4.3000000000000149E-2</v>
      </c>
      <c r="L210" s="26">
        <f>'Clean Swap Data'!J182-'Clean Swap Data'!J181</f>
        <v>4.4000000000000039E-2</v>
      </c>
      <c r="M210" s="26">
        <f>'Clean Swap Data'!K182-'Clean Swap Data'!K181</f>
        <v>4.4000000000000039E-2</v>
      </c>
      <c r="O210" s="23">
        <f ca="1"/>
        <v>0.11070379618792436</v>
      </c>
      <c r="P210" s="23">
        <f ca="1"/>
        <v>1.5378890921877605E-2</v>
      </c>
      <c r="Q210" s="23">
        <f ca="1"/>
        <v>7.8342896653151341E-3</v>
      </c>
      <c r="S210" s="27">
        <f t="shared" si="25"/>
        <v>4.4000000000000039E-2</v>
      </c>
      <c r="T210" s="27">
        <f t="shared" si="26"/>
        <v>3.2000000000000028E-2</v>
      </c>
      <c r="U210" s="23">
        <f t="shared" si="27"/>
        <v>0</v>
      </c>
    </row>
    <row r="211" spans="3:21" x14ac:dyDescent="0.2">
      <c r="C211" s="17">
        <f>'Clean Swap Data'!A183</f>
        <v>43501</v>
      </c>
      <c r="D211" s="26">
        <f>'Clean Swap Data'!B183-'Clean Swap Data'!B182</f>
        <v>2.0000000000002238E-3</v>
      </c>
      <c r="E211" s="26">
        <f>'Clean Swap Data'!C183-'Clean Swap Data'!C182</f>
        <v>-5.0000000000003375E-3</v>
      </c>
      <c r="F211" s="26">
        <f>'Clean Swap Data'!D183-'Clean Swap Data'!D182</f>
        <v>-1.2999999999999901E-2</v>
      </c>
      <c r="G211" s="26">
        <f>'Clean Swap Data'!E183-'Clean Swap Data'!E182</f>
        <v>-1.9000000000000128E-2</v>
      </c>
      <c r="H211" s="26">
        <f>'Clean Swap Data'!F183-'Clean Swap Data'!F182</f>
        <v>-2.3999999999999577E-2</v>
      </c>
      <c r="I211" s="26">
        <f>'Clean Swap Data'!G183-'Clean Swap Data'!G182</f>
        <v>-2.5999999999999801E-2</v>
      </c>
      <c r="J211" s="26">
        <f>'Clean Swap Data'!H183-'Clean Swap Data'!H182</f>
        <v>-2.8999999999999915E-2</v>
      </c>
      <c r="K211" s="26">
        <f>'Clean Swap Data'!I183-'Clean Swap Data'!I182</f>
        <v>-2.9999999999999805E-2</v>
      </c>
      <c r="L211" s="26">
        <f>'Clean Swap Data'!J183-'Clean Swap Data'!J182</f>
        <v>-3.1000000000000139E-2</v>
      </c>
      <c r="M211" s="26">
        <f>'Clean Swap Data'!K183-'Clean Swap Data'!K182</f>
        <v>-3.2000000000000028E-2</v>
      </c>
      <c r="O211" s="23">
        <f ca="1"/>
        <v>-7.0320244443637228E-2</v>
      </c>
      <c r="P211" s="23">
        <f ca="1"/>
        <v>-2.4076271829563824E-2</v>
      </c>
      <c r="Q211" s="23">
        <f ca="1"/>
        <v>-1.7234709350881618E-3</v>
      </c>
      <c r="S211" s="27">
        <f t="shared" si="25"/>
        <v>-3.2000000000000028E-2</v>
      </c>
      <c r="T211" s="27">
        <f t="shared" si="26"/>
        <v>-3.4000000000000252E-2</v>
      </c>
      <c r="U211" s="23">
        <f t="shared" si="27"/>
        <v>-4.0000000000000036E-3</v>
      </c>
    </row>
    <row r="212" spans="3:21" x14ac:dyDescent="0.2">
      <c r="C212" s="17">
        <f>'Clean Swap Data'!A184</f>
        <v>43502</v>
      </c>
      <c r="D212" s="26">
        <f>'Clean Swap Data'!B184-'Clean Swap Data'!B183</f>
        <v>9.9999999999997868E-3</v>
      </c>
      <c r="E212" s="26">
        <f>'Clean Swap Data'!C184-'Clean Swap Data'!C183</f>
        <v>-4.9999999999998934E-3</v>
      </c>
      <c r="F212" s="26">
        <f>'Clean Swap Data'!D184-'Clean Swap Data'!D183</f>
        <v>-9.0000000000003411E-3</v>
      </c>
      <c r="G212" s="26">
        <f>'Clean Swap Data'!E184-'Clean Swap Data'!E183</f>
        <v>-9.9999999999997868E-3</v>
      </c>
      <c r="H212" s="26">
        <f>'Clean Swap Data'!F184-'Clean Swap Data'!F183</f>
        <v>-1.2000000000000011E-2</v>
      </c>
      <c r="I212" s="26">
        <f>'Clean Swap Data'!G184-'Clean Swap Data'!G183</f>
        <v>-1.1000000000000121E-2</v>
      </c>
      <c r="J212" s="26">
        <f>'Clean Swap Data'!H184-'Clean Swap Data'!H183</f>
        <v>-9.9999999999997868E-3</v>
      </c>
      <c r="K212" s="26">
        <f>'Clean Swap Data'!I184-'Clean Swap Data'!I183</f>
        <v>-9.0000000000003411E-3</v>
      </c>
      <c r="L212" s="26">
        <f>'Clean Swap Data'!J184-'Clean Swap Data'!J183</f>
        <v>-8.0000000000000071E-3</v>
      </c>
      <c r="M212" s="26">
        <f>'Clean Swap Data'!K184-'Clean Swap Data'!K183</f>
        <v>-7.0000000000001172E-3</v>
      </c>
      <c r="O212" s="23">
        <f ca="1"/>
        <v>-2.5857462673553013E-2</v>
      </c>
      <c r="P212" s="23">
        <f ca="1"/>
        <v>-6.2929157508520668E-3</v>
      </c>
      <c r="Q212" s="23">
        <f ca="1"/>
        <v>1.2102879960894708E-2</v>
      </c>
      <c r="S212" s="27">
        <f t="shared" si="25"/>
        <v>-7.0000000000001172E-3</v>
      </c>
      <c r="T212" s="27">
        <f t="shared" si="26"/>
        <v>-1.6999999999999904E-2</v>
      </c>
      <c r="U212" s="23">
        <f t="shared" si="27"/>
        <v>2.1000000000000352E-2</v>
      </c>
    </row>
    <row r="213" spans="3:21" x14ac:dyDescent="0.2">
      <c r="C213" s="17">
        <f>'Clean Swap Data'!A185</f>
        <v>43503</v>
      </c>
      <c r="D213" s="26">
        <f>'Clean Swap Data'!B185-'Clean Swap Data'!B184</f>
        <v>-3.6999999999999922E-2</v>
      </c>
      <c r="E213" s="26">
        <f>'Clean Swap Data'!C185-'Clean Swap Data'!C184</f>
        <v>-3.6999999999999922E-2</v>
      </c>
      <c r="F213" s="26">
        <f>'Clean Swap Data'!D185-'Clean Swap Data'!D184</f>
        <v>-3.6999999999999922E-2</v>
      </c>
      <c r="G213" s="26">
        <f>'Clean Swap Data'!E185-'Clean Swap Data'!E184</f>
        <v>-3.5000000000000142E-2</v>
      </c>
      <c r="H213" s="26">
        <f>'Clean Swap Data'!F185-'Clean Swap Data'!F184</f>
        <v>-3.2000000000000028E-2</v>
      </c>
      <c r="I213" s="26">
        <f>'Clean Swap Data'!G185-'Clean Swap Data'!G184</f>
        <v>-3.2000000000000028E-2</v>
      </c>
      <c r="J213" s="26">
        <f>'Clean Swap Data'!H185-'Clean Swap Data'!H184</f>
        <v>-3.0000000000000249E-2</v>
      </c>
      <c r="K213" s="26">
        <f>'Clean Swap Data'!I185-'Clean Swap Data'!I184</f>
        <v>-2.9999999999999805E-2</v>
      </c>
      <c r="L213" s="26">
        <f>'Clean Swap Data'!J185-'Clean Swap Data'!J184</f>
        <v>-2.9999999999999805E-2</v>
      </c>
      <c r="M213" s="26">
        <f>'Clean Swap Data'!K185-'Clean Swap Data'!K184</f>
        <v>-2.8999999999999915E-2</v>
      </c>
      <c r="O213" s="23">
        <f ca="1"/>
        <v>-0.10038170885159919</v>
      </c>
      <c r="P213" s="23">
        <f ca="1"/>
        <v>2.4513401912891468E-2</v>
      </c>
      <c r="Q213" s="23">
        <f ca="1"/>
        <v>-1.5251434652771841E-2</v>
      </c>
      <c r="S213" s="27">
        <f t="shared" si="25"/>
        <v>-2.8999999999999915E-2</v>
      </c>
      <c r="T213" s="27">
        <f t="shared" si="26"/>
        <v>8.0000000000000071E-3</v>
      </c>
      <c r="U213" s="23">
        <f t="shared" si="27"/>
        <v>8.0000000000000071E-3</v>
      </c>
    </row>
    <row r="214" spans="3:21" x14ac:dyDescent="0.2">
      <c r="C214" s="17">
        <f>'Clean Swap Data'!A186</f>
        <v>43507</v>
      </c>
      <c r="D214" s="26">
        <f>'Clean Swap Data'!B186-'Clean Swap Data'!B185</f>
        <v>-6.0000000000002274E-3</v>
      </c>
      <c r="E214" s="26">
        <f>'Clean Swap Data'!C186-'Clean Swap Data'!C185</f>
        <v>-4.9999999999998934E-3</v>
      </c>
      <c r="F214" s="26">
        <f>'Clean Swap Data'!D186-'Clean Swap Data'!D185</f>
        <v>-4.0000000000000036E-3</v>
      </c>
      <c r="G214" s="26">
        <f>'Clean Swap Data'!E186-'Clean Swap Data'!E185</f>
        <v>-3.0000000000001137E-3</v>
      </c>
      <c r="H214" s="26">
        <f>'Clean Swap Data'!F186-'Clean Swap Data'!F185</f>
        <v>-4.0000000000000036E-3</v>
      </c>
      <c r="I214" s="26">
        <f>'Clean Swap Data'!G186-'Clean Swap Data'!G185</f>
        <v>-4.9999999999998934E-3</v>
      </c>
      <c r="J214" s="26">
        <f>'Clean Swap Data'!H186-'Clean Swap Data'!H185</f>
        <v>-5.9999999999997833E-3</v>
      </c>
      <c r="K214" s="26">
        <f>'Clean Swap Data'!I186-'Clean Swap Data'!I185</f>
        <v>-5.9999999999997833E-3</v>
      </c>
      <c r="L214" s="26">
        <f>'Clean Swap Data'!J186-'Clean Swap Data'!J185</f>
        <v>-6.0000000000002274E-3</v>
      </c>
      <c r="M214" s="26">
        <f>'Clean Swap Data'!K186-'Clean Swap Data'!K185</f>
        <v>-7.0000000000001172E-3</v>
      </c>
      <c r="O214" s="23">
        <f ca="1"/>
        <v>-1.5936159361155972E-2</v>
      </c>
      <c r="P214" s="23">
        <f ca="1"/>
        <v>4.5126022092091588E-4</v>
      </c>
      <c r="Q214" s="23">
        <f ca="1"/>
        <v>-4.8890305836408491E-3</v>
      </c>
      <c r="S214" s="27">
        <f t="shared" si="25"/>
        <v>-7.0000000000001172E-3</v>
      </c>
      <c r="T214" s="27">
        <f t="shared" si="26"/>
        <v>-9.9999999999988987E-4</v>
      </c>
      <c r="U214" s="23">
        <f t="shared" si="27"/>
        <v>-5.0000000000003375E-3</v>
      </c>
    </row>
    <row r="215" spans="3:21" x14ac:dyDescent="0.2">
      <c r="C215" s="17">
        <f>'Clean Swap Data'!A187</f>
        <v>43508</v>
      </c>
      <c r="D215" s="26">
        <f>'Clean Swap Data'!B187-'Clean Swap Data'!B186</f>
        <v>9.0000000000003411E-3</v>
      </c>
      <c r="E215" s="26">
        <f>'Clean Swap Data'!C187-'Clean Swap Data'!C186</f>
        <v>1.499999999999968E-2</v>
      </c>
      <c r="F215" s="26">
        <f>'Clean Swap Data'!D187-'Clean Swap Data'!D186</f>
        <v>1.9000000000000128E-2</v>
      </c>
      <c r="G215" s="26">
        <f>'Clean Swap Data'!E187-'Clean Swap Data'!E186</f>
        <v>2.1000000000000352E-2</v>
      </c>
      <c r="H215" s="26">
        <f>'Clean Swap Data'!F187-'Clean Swap Data'!F186</f>
        <v>2.4000000000000021E-2</v>
      </c>
      <c r="I215" s="26">
        <f>'Clean Swap Data'!G187-'Clean Swap Data'!G186</f>
        <v>2.4999999999999911E-2</v>
      </c>
      <c r="J215" s="26">
        <f>'Clean Swap Data'!H187-'Clean Swap Data'!H186</f>
        <v>2.5999999999999801E-2</v>
      </c>
      <c r="K215" s="26">
        <f>'Clean Swap Data'!I187-'Clean Swap Data'!I186</f>
        <v>2.5999999999999801E-2</v>
      </c>
      <c r="L215" s="26">
        <f>'Clean Swap Data'!J187-'Clean Swap Data'!J186</f>
        <v>2.7000000000000135E-2</v>
      </c>
      <c r="M215" s="26">
        <f>'Clean Swap Data'!K187-'Clean Swap Data'!K186</f>
        <v>2.8000000000000025E-2</v>
      </c>
      <c r="O215" s="23">
        <f ca="1"/>
        <v>7.1450101229228319E-2</v>
      </c>
      <c r="P215" s="23">
        <f ca="1"/>
        <v>6.7978341971121434E-3</v>
      </c>
      <c r="Q215" s="23">
        <f ca="1"/>
        <v>4.6269028837228506E-3</v>
      </c>
      <c r="S215" s="27">
        <f t="shared" si="25"/>
        <v>2.8000000000000025E-2</v>
      </c>
      <c r="T215" s="27">
        <f t="shared" si="26"/>
        <v>1.8999999999999684E-2</v>
      </c>
      <c r="U215" s="23">
        <f t="shared" si="27"/>
        <v>-9.9999999999988987E-4</v>
      </c>
    </row>
    <row r="216" spans="3:21" x14ac:dyDescent="0.2">
      <c r="C216" s="17">
        <f>'Clean Swap Data'!A188</f>
        <v>43510</v>
      </c>
      <c r="D216" s="26">
        <f>'Clean Swap Data'!B188-'Clean Swap Data'!B187</f>
        <v>-4.0000000000000036E-3</v>
      </c>
      <c r="E216" s="26">
        <f>'Clean Swap Data'!C188-'Clean Swap Data'!C187</f>
        <v>-1.9999999999997797E-3</v>
      </c>
      <c r="F216" s="26">
        <f>'Clean Swap Data'!D188-'Clean Swap Data'!D187</f>
        <v>-8.0000000000000071E-3</v>
      </c>
      <c r="G216" s="26">
        <f>'Clean Swap Data'!E188-'Clean Swap Data'!E187</f>
        <v>-1.2000000000000011E-2</v>
      </c>
      <c r="H216" s="26">
        <f>'Clean Swap Data'!F188-'Clean Swap Data'!F187</f>
        <v>-1.8000000000000238E-2</v>
      </c>
      <c r="I216" s="26">
        <f>'Clean Swap Data'!G188-'Clean Swap Data'!G187</f>
        <v>-1.8999999999999684E-2</v>
      </c>
      <c r="J216" s="26">
        <f>'Clean Swap Data'!H188-'Clean Swap Data'!H187</f>
        <v>-2.0000000000000018E-2</v>
      </c>
      <c r="K216" s="26">
        <f>'Clean Swap Data'!I188-'Clean Swap Data'!I187</f>
        <v>-2.0999999999999908E-2</v>
      </c>
      <c r="L216" s="26">
        <f>'Clean Swap Data'!J188-'Clean Swap Data'!J187</f>
        <v>-1.5000000000000124E-2</v>
      </c>
      <c r="M216" s="26">
        <f>'Clean Swap Data'!K188-'Clean Swap Data'!K187</f>
        <v>-2.0000000000000018E-2</v>
      </c>
      <c r="O216" s="23">
        <f ca="1"/>
        <v>-4.618451229451815E-2</v>
      </c>
      <c r="P216" s="23">
        <f ca="1"/>
        <v>-1.2415340067826982E-2</v>
      </c>
      <c r="Q216" s="23">
        <f ca="1"/>
        <v>-4.8088349464432082E-3</v>
      </c>
      <c r="S216" s="27">
        <f t="shared" si="25"/>
        <v>-2.0000000000000018E-2</v>
      </c>
      <c r="T216" s="27">
        <f t="shared" si="26"/>
        <v>-1.6000000000000014E-2</v>
      </c>
      <c r="U216" s="23">
        <f t="shared" si="27"/>
        <v>-8.0000000000000071E-3</v>
      </c>
    </row>
    <row r="217" spans="3:21" x14ac:dyDescent="0.2">
      <c r="C217" s="17">
        <f>'Clean Swap Data'!A189</f>
        <v>43511</v>
      </c>
      <c r="D217" s="26">
        <f>'Clean Swap Data'!B189-'Clean Swap Data'!B188</f>
        <v>4.9999999999998934E-3</v>
      </c>
      <c r="E217" s="26">
        <f>'Clean Swap Data'!C189-'Clean Swap Data'!C188</f>
        <v>1.6000000000000014E-2</v>
      </c>
      <c r="F217" s="26">
        <f>'Clean Swap Data'!D189-'Clean Swap Data'!D188</f>
        <v>2.0000000000000018E-2</v>
      </c>
      <c r="G217" s="26">
        <f>'Clean Swap Data'!E189-'Clean Swap Data'!E188</f>
        <v>2.0000000000000018E-2</v>
      </c>
      <c r="H217" s="26">
        <f>'Clean Swap Data'!F189-'Clean Swap Data'!F188</f>
        <v>2.2000000000000242E-2</v>
      </c>
      <c r="I217" s="26">
        <f>'Clean Swap Data'!G189-'Clean Swap Data'!G188</f>
        <v>2.0000000000000018E-2</v>
      </c>
      <c r="J217" s="26">
        <f>'Clean Swap Data'!H189-'Clean Swap Data'!H188</f>
        <v>1.9000000000000128E-2</v>
      </c>
      <c r="K217" s="26">
        <f>'Clean Swap Data'!I189-'Clean Swap Data'!I188</f>
        <v>1.8999999999999684E-2</v>
      </c>
      <c r="L217" s="26">
        <f>'Clean Swap Data'!J189-'Clean Swap Data'!J188</f>
        <v>1.2000000000000011E-2</v>
      </c>
      <c r="M217" s="26">
        <f>'Clean Swap Data'!K189-'Clean Swap Data'!K188</f>
        <v>1.5000000000000124E-2</v>
      </c>
      <c r="O217" s="23">
        <f ca="1"/>
        <v>5.4552443529651128E-2</v>
      </c>
      <c r="P217" s="23">
        <f ca="1"/>
        <v>-4.505815453595588E-3</v>
      </c>
      <c r="Q217" s="23">
        <f ca="1"/>
        <v>-4.9922801954590153E-3</v>
      </c>
      <c r="S217" s="27">
        <f t="shared" si="25"/>
        <v>1.5000000000000124E-2</v>
      </c>
      <c r="T217" s="27">
        <f t="shared" si="26"/>
        <v>1.0000000000000231E-2</v>
      </c>
      <c r="U217" s="23">
        <f t="shared" si="27"/>
        <v>-2.0000000000000018E-2</v>
      </c>
    </row>
    <row r="218" spans="3:21" x14ac:dyDescent="0.2">
      <c r="C218" s="17">
        <f>'Clean Swap Data'!A190</f>
        <v>43515</v>
      </c>
      <c r="D218" s="26">
        <f>'Clean Swap Data'!B190-'Clean Swap Data'!B189</f>
        <v>-3.1000000000000139E-2</v>
      </c>
      <c r="E218" s="26">
        <f>'Clean Swap Data'!C190-'Clean Swap Data'!C189</f>
        <v>-3.7999999999999812E-2</v>
      </c>
      <c r="F218" s="26">
        <f>'Clean Swap Data'!D190-'Clean Swap Data'!D189</f>
        <v>-4.0999999999999925E-2</v>
      </c>
      <c r="G218" s="26">
        <f>'Clean Swap Data'!E190-'Clean Swap Data'!E189</f>
        <v>-4.2000000000000259E-2</v>
      </c>
      <c r="H218" s="26">
        <f>'Clean Swap Data'!F190-'Clean Swap Data'!F189</f>
        <v>-4.3000000000000149E-2</v>
      </c>
      <c r="I218" s="26">
        <f>'Clean Swap Data'!G190-'Clean Swap Data'!G189</f>
        <v>-4.2000000000000259E-2</v>
      </c>
      <c r="J218" s="26">
        <f>'Clean Swap Data'!H190-'Clean Swap Data'!H189</f>
        <v>-4.1999999999999815E-2</v>
      </c>
      <c r="K218" s="26">
        <f>'Clean Swap Data'!I190-'Clean Swap Data'!I189</f>
        <v>-4.1999999999999815E-2</v>
      </c>
      <c r="L218" s="26">
        <f>'Clean Swap Data'!J190-'Clean Swap Data'!J189</f>
        <v>-4.1999999999999815E-2</v>
      </c>
      <c r="M218" s="26">
        <f>'Clean Swap Data'!K190-'Clean Swap Data'!K189</f>
        <v>-4.0999999999999925E-2</v>
      </c>
      <c r="O218" s="23">
        <f ca="1"/>
        <v>-0.12711101303136552</v>
      </c>
      <c r="P218" s="23">
        <f ca="1"/>
        <v>1.1670121982095966E-2</v>
      </c>
      <c r="Q218" s="23">
        <f ca="1"/>
        <v>-1.1831671265941295E-2</v>
      </c>
      <c r="S218" s="27">
        <f t="shared" si="25"/>
        <v>-4.0999999999999925E-2</v>
      </c>
      <c r="T218" s="27">
        <f t="shared" si="26"/>
        <v>-9.9999999999997868E-3</v>
      </c>
      <c r="U218" s="23">
        <f t="shared" si="27"/>
        <v>9.9999999999997868E-3</v>
      </c>
    </row>
    <row r="219" spans="3:21" x14ac:dyDescent="0.2">
      <c r="C219" s="17">
        <f>'Clean Swap Data'!A191</f>
        <v>43516</v>
      </c>
      <c r="D219" s="26">
        <f>'Clean Swap Data'!B191-'Clean Swap Data'!B190</f>
        <v>-4.9999999999998934E-3</v>
      </c>
      <c r="E219" s="26">
        <f>'Clean Swap Data'!C191-'Clean Swap Data'!C190</f>
        <v>-3.0000000000001137E-3</v>
      </c>
      <c r="F219" s="26">
        <f>'Clean Swap Data'!D191-'Clean Swap Data'!D190</f>
        <v>9.9999999999988987E-4</v>
      </c>
      <c r="G219" s="26">
        <f>'Clean Swap Data'!E191-'Clean Swap Data'!E190</f>
        <v>4.9999999999998934E-3</v>
      </c>
      <c r="H219" s="26">
        <f>'Clean Swap Data'!F191-'Clean Swap Data'!F190</f>
        <v>5.9999999999997833E-3</v>
      </c>
      <c r="I219" s="26">
        <f>'Clean Swap Data'!G191-'Clean Swap Data'!G190</f>
        <v>8.0000000000000071E-3</v>
      </c>
      <c r="J219" s="26">
        <f>'Clean Swap Data'!H191-'Clean Swap Data'!H190</f>
        <v>1.0999999999999677E-2</v>
      </c>
      <c r="K219" s="26">
        <f>'Clean Swap Data'!I191-'Clean Swap Data'!I190</f>
        <v>1.2000000000000011E-2</v>
      </c>
      <c r="L219" s="26">
        <f>'Clean Swap Data'!J191-'Clean Swap Data'!J190</f>
        <v>1.2999999999999901E-2</v>
      </c>
      <c r="M219" s="26">
        <f>'Clean Swap Data'!K191-'Clean Swap Data'!K190</f>
        <v>1.5000000000000124E-2</v>
      </c>
      <c r="O219" s="23">
        <f ca="1"/>
        <v>2.2751987745120345E-2</v>
      </c>
      <c r="P219" s="23">
        <f ca="1"/>
        <v>1.7214947398893655E-2</v>
      </c>
      <c r="Q219" s="23">
        <f ca="1"/>
        <v>1.1495881100764779E-3</v>
      </c>
      <c r="S219" s="27">
        <f t="shared" si="25"/>
        <v>1.5000000000000124E-2</v>
      </c>
      <c r="T219" s="27">
        <f t="shared" si="26"/>
        <v>2.0000000000000018E-2</v>
      </c>
      <c r="U219" s="23">
        <f t="shared" si="27"/>
        <v>8.0000000000004512E-3</v>
      </c>
    </row>
    <row r="220" spans="3:21" x14ac:dyDescent="0.2">
      <c r="C220" s="17">
        <f>'Clean Swap Data'!A192</f>
        <v>43517</v>
      </c>
      <c r="D220" s="26">
        <f>'Clean Swap Data'!B192-'Clean Swap Data'!B191</f>
        <v>4.0000000000000036E-3</v>
      </c>
      <c r="E220" s="26">
        <f>'Clean Swap Data'!C192-'Clean Swap Data'!C191</f>
        <v>1.6999999999999904E-2</v>
      </c>
      <c r="F220" s="26">
        <f>'Clean Swap Data'!D192-'Clean Swap Data'!D191</f>
        <v>2.4000000000000021E-2</v>
      </c>
      <c r="G220" s="26">
        <f>'Clean Swap Data'!E192-'Clean Swap Data'!E191</f>
        <v>2.7000000000000135E-2</v>
      </c>
      <c r="H220" s="26">
        <f>'Clean Swap Data'!F192-'Clean Swap Data'!F191</f>
        <v>2.9000000000000359E-2</v>
      </c>
      <c r="I220" s="26">
        <f>'Clean Swap Data'!G192-'Clean Swap Data'!G191</f>
        <v>2.8999999999999915E-2</v>
      </c>
      <c r="J220" s="26">
        <f>'Clean Swap Data'!H192-'Clean Swap Data'!H191</f>
        <v>2.8000000000000025E-2</v>
      </c>
      <c r="K220" s="26">
        <f>'Clean Swap Data'!I192-'Clean Swap Data'!I191</f>
        <v>2.8999999999999915E-2</v>
      </c>
      <c r="L220" s="26">
        <f>'Clean Swap Data'!J192-'Clean Swap Data'!J191</f>
        <v>2.8999999999999915E-2</v>
      </c>
      <c r="M220" s="26">
        <f>'Clean Swap Data'!K192-'Clean Swap Data'!K191</f>
        <v>2.8999999999999915E-2</v>
      </c>
      <c r="O220" s="23">
        <f ca="1"/>
        <v>8.0817651136585192E-2</v>
      </c>
      <c r="P220" s="23">
        <f ca="1"/>
        <v>7.3144847143234472E-3</v>
      </c>
      <c r="Q220" s="23">
        <f ca="1"/>
        <v>-2.6565246067486691E-3</v>
      </c>
      <c r="S220" s="27">
        <f t="shared" si="25"/>
        <v>2.8999999999999915E-2</v>
      </c>
      <c r="T220" s="27">
        <f t="shared" si="26"/>
        <v>2.4999999999999911E-2</v>
      </c>
      <c r="U220" s="23">
        <f t="shared" si="27"/>
        <v>-1.5000000000000124E-2</v>
      </c>
    </row>
    <row r="221" spans="3:21" x14ac:dyDescent="0.2">
      <c r="C221" s="17">
        <f>'Clean Swap Data'!A193</f>
        <v>43518</v>
      </c>
      <c r="D221" s="26">
        <f>'Clean Swap Data'!B193-'Clean Swap Data'!B192</f>
        <v>-1.2999999999999901E-2</v>
      </c>
      <c r="E221" s="26">
        <f>'Clean Swap Data'!C193-'Clean Swap Data'!C192</f>
        <v>-2.1999999999999797E-2</v>
      </c>
      <c r="F221" s="26">
        <f>'Clean Swap Data'!D193-'Clean Swap Data'!D192</f>
        <v>-2.8999999999999915E-2</v>
      </c>
      <c r="G221" s="26">
        <f>'Clean Swap Data'!E193-'Clean Swap Data'!E192</f>
        <v>-3.1000000000000139E-2</v>
      </c>
      <c r="H221" s="26">
        <f>'Clean Swap Data'!F193-'Clean Swap Data'!F192</f>
        <v>-3.3000000000000362E-2</v>
      </c>
      <c r="I221" s="26">
        <f>'Clean Swap Data'!G193-'Clean Swap Data'!G192</f>
        <v>-3.2000000000000028E-2</v>
      </c>
      <c r="J221" s="26">
        <f>'Clean Swap Data'!H193-'Clean Swap Data'!H192</f>
        <v>-3.2999999999999918E-2</v>
      </c>
      <c r="K221" s="26">
        <f>'Clean Swap Data'!I193-'Clean Swap Data'!I192</f>
        <v>-3.2999999999999918E-2</v>
      </c>
      <c r="L221" s="26">
        <f>'Clean Swap Data'!J193-'Clean Swap Data'!J192</f>
        <v>-3.2000000000000028E-2</v>
      </c>
      <c r="M221" s="26">
        <f>'Clean Swap Data'!K193-'Clean Swap Data'!K192</f>
        <v>-3.2999999999999918E-2</v>
      </c>
      <c r="O221" s="23">
        <f ca="1"/>
        <v>-9.4025711358693115E-2</v>
      </c>
      <c r="P221" s="23">
        <f ca="1"/>
        <v>-1.9064923710281709E-3</v>
      </c>
      <c r="Q221" s="23">
        <f ca="1"/>
        <v>-2.936134247861706E-3</v>
      </c>
      <c r="S221" s="27">
        <f t="shared" si="25"/>
        <v>-3.2999999999999918E-2</v>
      </c>
      <c r="T221" s="27">
        <f t="shared" si="26"/>
        <v>-2.0000000000000018E-2</v>
      </c>
      <c r="U221" s="23">
        <f t="shared" si="27"/>
        <v>1.2000000000000011E-2</v>
      </c>
    </row>
    <row r="222" spans="3:21" x14ac:dyDescent="0.2">
      <c r="C222" s="17">
        <f>'Clean Swap Data'!A194</f>
        <v>43521</v>
      </c>
      <c r="D222" s="26">
        <f>'Clean Swap Data'!B194-'Clean Swap Data'!B193</f>
        <v>2.9999999999996696E-3</v>
      </c>
      <c r="E222" s="26">
        <f>'Clean Swap Data'!C194-'Clean Swap Data'!C193</f>
        <v>-4.0000000000000036E-3</v>
      </c>
      <c r="F222" s="26">
        <f>'Clean Swap Data'!D194-'Clean Swap Data'!D193</f>
        <v>-2.0000000000002238E-3</v>
      </c>
      <c r="G222" s="26">
        <f>'Clean Swap Data'!E194-'Clean Swap Data'!E193</f>
        <v>-1.9999999999997797E-3</v>
      </c>
      <c r="H222" s="26">
        <f>'Clean Swap Data'!F194-'Clean Swap Data'!F193</f>
        <v>2.0000000000002238E-3</v>
      </c>
      <c r="I222" s="26">
        <f>'Clean Swap Data'!G194-'Clean Swap Data'!G193</f>
        <v>4.0000000000000036E-3</v>
      </c>
      <c r="J222" s="26">
        <f>'Clean Swap Data'!H194-'Clean Swap Data'!H193</f>
        <v>7.0000000000001172E-3</v>
      </c>
      <c r="K222" s="26">
        <f>'Clean Swap Data'!I194-'Clean Swap Data'!I193</f>
        <v>8.999999999999897E-3</v>
      </c>
      <c r="L222" s="26">
        <f>'Clean Swap Data'!J194-'Clean Swap Data'!J193</f>
        <v>1.1000000000000121E-2</v>
      </c>
      <c r="M222" s="26">
        <f>'Clean Swap Data'!K194-'Clean Swap Data'!K193</f>
        <v>1.2999999999999901E-2</v>
      </c>
      <c r="O222" s="23">
        <f ca="1"/>
        <v>1.3628281774365838E-2</v>
      </c>
      <c r="P222" s="23">
        <f ca="1"/>
        <v>1.3411313723146219E-2</v>
      </c>
      <c r="Q222" s="23">
        <f ca="1"/>
        <v>9.9784471775344729E-3</v>
      </c>
      <c r="S222" s="27">
        <f t="shared" si="25"/>
        <v>1.2999999999999901E-2</v>
      </c>
      <c r="T222" s="27">
        <f t="shared" si="26"/>
        <v>1.0000000000000231E-2</v>
      </c>
      <c r="U222" s="23">
        <f t="shared" si="27"/>
        <v>2.0000000000000018E-2</v>
      </c>
    </row>
    <row r="223" spans="3:21" x14ac:dyDescent="0.2">
      <c r="C223" s="17">
        <f>'Clean Swap Data'!A195</f>
        <v>43522</v>
      </c>
      <c r="D223" s="26">
        <f>'Clean Swap Data'!B195-'Clean Swap Data'!B194</f>
        <v>-1.499999999999968E-2</v>
      </c>
      <c r="E223" s="26">
        <f>'Clean Swap Data'!C195-'Clean Swap Data'!C194</f>
        <v>-2.5000000000000355E-2</v>
      </c>
      <c r="F223" s="26">
        <f>'Clean Swap Data'!D195-'Clean Swap Data'!D194</f>
        <v>-3.2000000000000028E-2</v>
      </c>
      <c r="G223" s="26">
        <f>'Clean Swap Data'!E195-'Clean Swap Data'!E194</f>
        <v>-3.1000000000000139E-2</v>
      </c>
      <c r="H223" s="26">
        <f>'Clean Swap Data'!F195-'Clean Swap Data'!F194</f>
        <v>-3.2000000000000028E-2</v>
      </c>
      <c r="I223" s="26">
        <f>'Clean Swap Data'!G195-'Clean Swap Data'!G194</f>
        <v>-3.2000000000000028E-2</v>
      </c>
      <c r="J223" s="26">
        <f>'Clean Swap Data'!H195-'Clean Swap Data'!H194</f>
        <v>-3.2999999999999918E-2</v>
      </c>
      <c r="K223" s="26">
        <f>'Clean Swap Data'!I195-'Clean Swap Data'!I194</f>
        <v>-3.3999999999999808E-2</v>
      </c>
      <c r="L223" s="26">
        <f>'Clean Swap Data'!J195-'Clean Swap Data'!J194</f>
        <v>-3.4999999999999698E-2</v>
      </c>
      <c r="M223" s="26">
        <f>'Clean Swap Data'!K195-'Clean Swap Data'!K194</f>
        <v>-3.4000000000000252E-2</v>
      </c>
      <c r="O223" s="23">
        <f ca="1"/>
        <v>-9.7375273223000103E-2</v>
      </c>
      <c r="P223" s="23">
        <f ca="1"/>
        <v>6.6435636834651091E-6</v>
      </c>
      <c r="Q223" s="23">
        <f ca="1"/>
        <v>-4.123892246414706E-3</v>
      </c>
      <c r="S223" s="27">
        <f t="shared" si="25"/>
        <v>-3.4000000000000252E-2</v>
      </c>
      <c r="T223" s="27">
        <f t="shared" si="26"/>
        <v>-1.9000000000000572E-2</v>
      </c>
      <c r="U223" s="23">
        <f t="shared" si="27"/>
        <v>1.5000000000000124E-2</v>
      </c>
    </row>
    <row r="224" spans="3:21" x14ac:dyDescent="0.2">
      <c r="C224" s="17">
        <f>'Clean Swap Data'!A196</f>
        <v>43523</v>
      </c>
      <c r="D224" s="26">
        <f>'Clean Swap Data'!B196-'Clean Swap Data'!B195</f>
        <v>1.2999999999999901E-2</v>
      </c>
      <c r="E224" s="26">
        <f>'Clean Swap Data'!C196-'Clean Swap Data'!C195</f>
        <v>7.0000000000001172E-3</v>
      </c>
      <c r="F224" s="26">
        <f>'Clean Swap Data'!D196-'Clean Swap Data'!D195</f>
        <v>1.4000000000000234E-2</v>
      </c>
      <c r="G224" s="26">
        <f>'Clean Swap Data'!E196-'Clean Swap Data'!E195</f>
        <v>1.6000000000000014E-2</v>
      </c>
      <c r="H224" s="26">
        <f>'Clean Swap Data'!F196-'Clean Swap Data'!F195</f>
        <v>2.1999999999999797E-2</v>
      </c>
      <c r="I224" s="26">
        <f>'Clean Swap Data'!G196-'Clean Swap Data'!G195</f>
        <v>2.4000000000000021E-2</v>
      </c>
      <c r="J224" s="26">
        <f>'Clean Swap Data'!H196-'Clean Swap Data'!H195</f>
        <v>2.6999999999999691E-2</v>
      </c>
      <c r="K224" s="26">
        <f>'Clean Swap Data'!I196-'Clean Swap Data'!I195</f>
        <v>3.2000000000000028E-2</v>
      </c>
      <c r="L224" s="26">
        <f>'Clean Swap Data'!J196-'Clean Swap Data'!J195</f>
        <v>3.4999999999999698E-2</v>
      </c>
      <c r="M224" s="26">
        <f>'Clean Swap Data'!K196-'Clean Swap Data'!K195</f>
        <v>3.6000000000000032E-2</v>
      </c>
      <c r="O224" s="23">
        <f ca="1"/>
        <v>7.3281198535099595E-2</v>
      </c>
      <c r="P224" s="23">
        <f ca="1"/>
        <v>1.8701314334590262E-2</v>
      </c>
      <c r="Q224" s="23">
        <f ca="1"/>
        <v>1.6410861568072845E-2</v>
      </c>
      <c r="S224" s="27">
        <f t="shared" si="25"/>
        <v>3.6000000000000032E-2</v>
      </c>
      <c r="T224" s="27">
        <f t="shared" si="26"/>
        <v>2.3000000000000131E-2</v>
      </c>
      <c r="U224" s="23">
        <f t="shared" si="27"/>
        <v>2.0999999999999464E-2</v>
      </c>
    </row>
    <row r="225" spans="3:21" x14ac:dyDescent="0.2">
      <c r="C225" s="17">
        <f>'Clean Swap Data'!A197</f>
        <v>43524</v>
      </c>
      <c r="D225" s="26">
        <f>'Clean Swap Data'!B197-'Clean Swap Data'!B196</f>
        <v>4.9999999999998934E-3</v>
      </c>
      <c r="E225" s="26">
        <f>'Clean Swap Data'!C197-'Clean Swap Data'!C196</f>
        <v>3.4000000000000252E-2</v>
      </c>
      <c r="F225" s="26">
        <f>'Clean Swap Data'!D197-'Clean Swap Data'!D196</f>
        <v>4.0999999999999925E-2</v>
      </c>
      <c r="G225" s="26">
        <f>'Clean Swap Data'!E197-'Clean Swap Data'!E196</f>
        <v>4.4000000000000039E-2</v>
      </c>
      <c r="H225" s="26">
        <f>'Clean Swap Data'!F197-'Clean Swap Data'!F196</f>
        <v>4.3000000000000149E-2</v>
      </c>
      <c r="I225" s="26">
        <f>'Clean Swap Data'!G197-'Clean Swap Data'!G196</f>
        <v>4.3000000000000149E-2</v>
      </c>
      <c r="J225" s="26">
        <f>'Clean Swap Data'!H197-'Clean Swap Data'!H196</f>
        <v>4.3000000000000149E-2</v>
      </c>
      <c r="K225" s="26">
        <f>'Clean Swap Data'!I197-'Clean Swap Data'!I196</f>
        <v>4.0999999999999925E-2</v>
      </c>
      <c r="L225" s="26">
        <f>'Clean Swap Data'!J197-'Clean Swap Data'!J196</f>
        <v>4.0000000000000036E-2</v>
      </c>
      <c r="M225" s="26">
        <f>'Clean Swap Data'!K197-'Clean Swap Data'!K196</f>
        <v>4.0000000000000036E-2</v>
      </c>
      <c r="O225" s="23">
        <f ca="1"/>
        <v>0.12293405204925911</v>
      </c>
      <c r="P225" s="23">
        <f ca="1"/>
        <v>1.9881768424656714E-3</v>
      </c>
      <c r="Q225" s="23">
        <f ca="1"/>
        <v>-1.036037997843201E-2</v>
      </c>
      <c r="S225" s="27">
        <f t="shared" ref="S225:S237" si="28">AVERAGE(M225)</f>
        <v>4.0000000000000036E-2</v>
      </c>
      <c r="T225" s="27">
        <f t="shared" si="26"/>
        <v>3.5000000000000142E-2</v>
      </c>
      <c r="U225" s="23">
        <f t="shared" si="27"/>
        <v>-3.6999999999999922E-2</v>
      </c>
    </row>
    <row r="226" spans="3:21" x14ac:dyDescent="0.2">
      <c r="C226" s="17">
        <f>'Clean Swap Data'!A198</f>
        <v>43525</v>
      </c>
      <c r="D226" s="26">
        <f>'Clean Swap Data'!B198-'Clean Swap Data'!B197</f>
        <v>1.2000000000000011E-2</v>
      </c>
      <c r="E226" s="26">
        <f>'Clean Swap Data'!C198-'Clean Swap Data'!C197</f>
        <v>1.0999999999999677E-2</v>
      </c>
      <c r="F226" s="26">
        <f>'Clean Swap Data'!D198-'Clean Swap Data'!D197</f>
        <v>1.2999999999999901E-2</v>
      </c>
      <c r="G226" s="26">
        <f>'Clean Swap Data'!E198-'Clean Swap Data'!E197</f>
        <v>1.1000000000000121E-2</v>
      </c>
      <c r="H226" s="26">
        <f>'Clean Swap Data'!F198-'Clean Swap Data'!F197</f>
        <v>1.1000000000000121E-2</v>
      </c>
      <c r="I226" s="26">
        <f>'Clean Swap Data'!G198-'Clean Swap Data'!G197</f>
        <v>1.2000000000000011E-2</v>
      </c>
      <c r="J226" s="26">
        <f>'Clean Swap Data'!H198-'Clean Swap Data'!H197</f>
        <v>1.399999999999979E-2</v>
      </c>
      <c r="K226" s="26">
        <f>'Clean Swap Data'!I198-'Clean Swap Data'!I197</f>
        <v>1.5000000000000124E-2</v>
      </c>
      <c r="L226" s="26">
        <f>'Clean Swap Data'!J198-'Clean Swap Data'!J197</f>
        <v>1.6000000000000014E-2</v>
      </c>
      <c r="M226" s="26">
        <f>'Clean Swap Data'!K198-'Clean Swap Data'!K197</f>
        <v>1.7000000000000348E-2</v>
      </c>
      <c r="O226" s="23">
        <f ca="1"/>
        <v>4.1211067897816492E-2</v>
      </c>
      <c r="P226" s="23">
        <f ca="1"/>
        <v>-8.5468411899069195E-4</v>
      </c>
      <c r="Q226" s="23">
        <f ca="1"/>
        <v>8.3215438640448537E-3</v>
      </c>
      <c r="S226" s="27">
        <f t="shared" si="28"/>
        <v>1.7000000000000348E-2</v>
      </c>
      <c r="T226" s="27">
        <f t="shared" si="26"/>
        <v>5.0000000000003375E-3</v>
      </c>
      <c r="U226" s="23">
        <f t="shared" si="27"/>
        <v>3.0000000000005578E-3</v>
      </c>
    </row>
    <row r="227" spans="3:21" x14ac:dyDescent="0.2">
      <c r="C227" s="17">
        <f>'Clean Swap Data'!A199</f>
        <v>43528</v>
      </c>
      <c r="D227" s="26">
        <f>'Clean Swap Data'!B199-'Clean Swap Data'!B198</f>
        <v>0</v>
      </c>
      <c r="E227" s="26">
        <f>'Clean Swap Data'!C199-'Clean Swap Data'!C198</f>
        <v>1.0000000000000231E-2</v>
      </c>
      <c r="F227" s="26">
        <f>'Clean Swap Data'!D199-'Clean Swap Data'!D198</f>
        <v>1.0000000000000231E-2</v>
      </c>
      <c r="G227" s="26">
        <f>'Clean Swap Data'!E199-'Clean Swap Data'!E198</f>
        <v>8.0000000000000071E-3</v>
      </c>
      <c r="H227" s="26">
        <f>'Clean Swap Data'!F199-'Clean Swap Data'!F198</f>
        <v>5.9999999999997833E-3</v>
      </c>
      <c r="I227" s="26">
        <f>'Clean Swap Data'!G199-'Clean Swap Data'!G198</f>
        <v>4.9999999999998934E-3</v>
      </c>
      <c r="J227" s="26">
        <f>'Clean Swap Data'!H199-'Clean Swap Data'!H198</f>
        <v>3.0000000000001137E-3</v>
      </c>
      <c r="K227" s="26">
        <f>'Clean Swap Data'!I199-'Clean Swap Data'!I198</f>
        <v>1.9999999999997797E-3</v>
      </c>
      <c r="L227" s="26">
        <f>'Clean Swap Data'!J199-'Clean Swap Data'!J198</f>
        <v>9.9999999999988987E-4</v>
      </c>
      <c r="M227" s="26">
        <f>'Clean Swap Data'!K199-'Clean Swap Data'!K198</f>
        <v>-2.0000000000002238E-3</v>
      </c>
      <c r="O227" s="23">
        <f ca="1"/>
        <v>1.3713156425943403E-2</v>
      </c>
      <c r="P227" s="23">
        <f ca="1"/>
        <v>-9.6085697231375212E-3</v>
      </c>
      <c r="Q227" s="23">
        <f ca="1"/>
        <v>-7.7220323897296897E-3</v>
      </c>
      <c r="S227" s="27">
        <f t="shared" si="28"/>
        <v>-2.0000000000002238E-3</v>
      </c>
      <c r="T227" s="27">
        <f t="shared" si="26"/>
        <v>-2.0000000000002238E-3</v>
      </c>
      <c r="U227" s="23">
        <f t="shared" si="27"/>
        <v>-2.2000000000000686E-2</v>
      </c>
    </row>
    <row r="228" spans="3:21" x14ac:dyDescent="0.2">
      <c r="C228" s="17">
        <f>'Clean Swap Data'!A200</f>
        <v>43529</v>
      </c>
      <c r="D228" s="26">
        <f>'Clean Swap Data'!B200-'Clean Swap Data'!B199</f>
        <v>1.1000000000000121E-2</v>
      </c>
      <c r="E228" s="26">
        <f>'Clean Swap Data'!C200-'Clean Swap Data'!C199</f>
        <v>1.499999999999968E-2</v>
      </c>
      <c r="F228" s="26">
        <f>'Clean Swap Data'!D200-'Clean Swap Data'!D199</f>
        <v>1.2999999999999901E-2</v>
      </c>
      <c r="G228" s="26">
        <f>'Clean Swap Data'!E200-'Clean Swap Data'!E199</f>
        <v>9.9999999999997868E-3</v>
      </c>
      <c r="H228" s="26">
        <f>'Clean Swap Data'!F200-'Clean Swap Data'!F199</f>
        <v>7.0000000000001172E-3</v>
      </c>
      <c r="I228" s="26">
        <f>'Clean Swap Data'!G200-'Clean Swap Data'!G199</f>
        <v>6.0000000000002274E-3</v>
      </c>
      <c r="J228" s="26">
        <f>'Clean Swap Data'!H200-'Clean Swap Data'!H199</f>
        <v>4.9999999999998934E-3</v>
      </c>
      <c r="K228" s="26">
        <f>'Clean Swap Data'!I200-'Clean Swap Data'!I199</f>
        <v>4.0000000000000036E-3</v>
      </c>
      <c r="L228" s="26">
        <f>'Clean Swap Data'!J200-'Clean Swap Data'!J199</f>
        <v>2.0000000000002238E-3</v>
      </c>
      <c r="M228" s="26">
        <f>'Clean Swap Data'!K200-'Clean Swap Data'!K199</f>
        <v>3.0000000000001137E-3</v>
      </c>
      <c r="O228" s="23">
        <f ca="1"/>
        <v>2.2075374139323329E-2</v>
      </c>
      <c r="P228" s="23">
        <f ca="1"/>
        <v>-1.6067641134561383E-2</v>
      </c>
      <c r="Q228" s="23">
        <f ca="1"/>
        <v>5.8299402455875258E-4</v>
      </c>
      <c r="S228" s="27">
        <f t="shared" si="28"/>
        <v>3.0000000000001137E-3</v>
      </c>
      <c r="T228" s="27">
        <f t="shared" si="26"/>
        <v>-8.0000000000000071E-3</v>
      </c>
      <c r="U228" s="23">
        <f t="shared" si="27"/>
        <v>-1.1999999999999567E-2</v>
      </c>
    </row>
    <row r="229" spans="3:21" x14ac:dyDescent="0.2">
      <c r="C229" s="17">
        <f>'Clean Swap Data'!A201</f>
        <v>43530</v>
      </c>
      <c r="D229" s="26">
        <f>'Clean Swap Data'!B201-'Clean Swap Data'!B200</f>
        <v>-1.2999999999999901E-2</v>
      </c>
      <c r="E229" s="26">
        <f>'Clean Swap Data'!C201-'Clean Swap Data'!C200</f>
        <v>-2.1999999999999797E-2</v>
      </c>
      <c r="F229" s="26">
        <f>'Clean Swap Data'!D201-'Clean Swap Data'!D200</f>
        <v>-2.7000000000000135E-2</v>
      </c>
      <c r="G229" s="26">
        <f>'Clean Swap Data'!E201-'Clean Swap Data'!E200</f>
        <v>-2.8999999999999915E-2</v>
      </c>
      <c r="H229" s="26">
        <f>'Clean Swap Data'!F201-'Clean Swap Data'!F200</f>
        <v>-3.1000000000000139E-2</v>
      </c>
      <c r="I229" s="26">
        <f>'Clean Swap Data'!G201-'Clean Swap Data'!G200</f>
        <v>-3.2000000000000028E-2</v>
      </c>
      <c r="J229" s="26">
        <f>'Clean Swap Data'!H201-'Clean Swap Data'!H200</f>
        <v>-3.0999999999999694E-2</v>
      </c>
      <c r="K229" s="26">
        <f>'Clean Swap Data'!I201-'Clean Swap Data'!I200</f>
        <v>-2.9999999999999805E-2</v>
      </c>
      <c r="L229" s="26">
        <f>'Clean Swap Data'!J201-'Clean Swap Data'!J200</f>
        <v>-2.8000000000000025E-2</v>
      </c>
      <c r="M229" s="26">
        <f>'Clean Swap Data'!K201-'Clean Swap Data'!K200</f>
        <v>-2.8000000000000025E-2</v>
      </c>
      <c r="O229" s="23">
        <f ca="1"/>
        <v>-8.7278398890535763E-2</v>
      </c>
      <c r="P229" s="23">
        <f ca="1"/>
        <v>1.0387298029784098E-3</v>
      </c>
      <c r="Q229" s="23">
        <f ca="1"/>
        <v>-2.0079752011954019E-3</v>
      </c>
      <c r="S229" s="27">
        <f t="shared" si="28"/>
        <v>-2.8000000000000025E-2</v>
      </c>
      <c r="T229" s="27">
        <f t="shared" ref="T229:T237" si="29">M229-D229</f>
        <v>-1.5000000000000124E-2</v>
      </c>
      <c r="U229" s="23">
        <f t="shared" ref="U229:U237" si="30">M229+D229-2*F229</f>
        <v>1.3000000000000345E-2</v>
      </c>
    </row>
    <row r="230" spans="3:21" x14ac:dyDescent="0.2">
      <c r="C230" s="17">
        <f>'Clean Swap Data'!A202</f>
        <v>43531</v>
      </c>
      <c r="D230" s="26">
        <f>'Clean Swap Data'!B202-'Clean Swap Data'!B201</f>
        <v>-1.5000000000000124E-2</v>
      </c>
      <c r="E230" s="26">
        <f>'Clean Swap Data'!C202-'Clean Swap Data'!C201</f>
        <v>-3.1000000000000139E-2</v>
      </c>
      <c r="F230" s="26">
        <f>'Clean Swap Data'!D202-'Clean Swap Data'!D201</f>
        <v>-4.0000000000000036E-2</v>
      </c>
      <c r="G230" s="26">
        <f>'Clean Swap Data'!E202-'Clean Swap Data'!E201</f>
        <v>-4.4000000000000039E-2</v>
      </c>
      <c r="H230" s="26">
        <f>'Clean Swap Data'!F202-'Clean Swap Data'!F201</f>
        <v>-4.5999999999999819E-2</v>
      </c>
      <c r="I230" s="26">
        <f>'Clean Swap Data'!G202-'Clean Swap Data'!G201</f>
        <v>-4.6000000000000263E-2</v>
      </c>
      <c r="J230" s="26">
        <f>'Clean Swap Data'!H202-'Clean Swap Data'!H201</f>
        <v>-4.7000000000000153E-2</v>
      </c>
      <c r="K230" s="26">
        <f>'Clean Swap Data'!I202-'Clean Swap Data'!I201</f>
        <v>-4.8000000000000043E-2</v>
      </c>
      <c r="L230" s="26">
        <f>'Clean Swap Data'!J202-'Clean Swap Data'!J201</f>
        <v>-4.7000000000000153E-2</v>
      </c>
      <c r="M230" s="26">
        <f>'Clean Swap Data'!K202-'Clean Swap Data'!K201</f>
        <v>-4.7000000000000153E-2</v>
      </c>
      <c r="O230" s="23">
        <f ca="1"/>
        <v>-0.13356804047759818</v>
      </c>
      <c r="P230" s="23">
        <f ca="1"/>
        <v>-5.9452719248164615E-3</v>
      </c>
      <c r="Q230" s="23">
        <f ca="1"/>
        <v>-2.1405502475884772E-3</v>
      </c>
      <c r="S230" s="27">
        <f t="shared" si="28"/>
        <v>-4.7000000000000153E-2</v>
      </c>
      <c r="T230" s="27">
        <f t="shared" si="29"/>
        <v>-3.2000000000000028E-2</v>
      </c>
      <c r="U230" s="23">
        <f t="shared" si="30"/>
        <v>1.7999999999999794E-2</v>
      </c>
    </row>
    <row r="231" spans="3:21" x14ac:dyDescent="0.2">
      <c r="C231" s="17">
        <f>'Clean Swap Data'!A203</f>
        <v>43535</v>
      </c>
      <c r="D231" s="26">
        <f>'Clean Swap Data'!B203-'Clean Swap Data'!B202</f>
        <v>8.0000000000000071E-3</v>
      </c>
      <c r="E231" s="26">
        <f>'Clean Swap Data'!C203-'Clean Swap Data'!C202</f>
        <v>-9.9999999999988987E-4</v>
      </c>
      <c r="F231" s="26">
        <f>'Clean Swap Data'!D203-'Clean Swap Data'!D202</f>
        <v>-4.0000000000000036E-3</v>
      </c>
      <c r="G231" s="26">
        <f>'Clean Swap Data'!E203-'Clean Swap Data'!E202</f>
        <v>-5.9999999999997833E-3</v>
      </c>
      <c r="H231" s="26">
        <f>'Clean Swap Data'!F203-'Clean Swap Data'!F202</f>
        <v>-8.0000000000000071E-3</v>
      </c>
      <c r="I231" s="26">
        <f>'Clean Swap Data'!G203-'Clean Swap Data'!G202</f>
        <v>-8.999999999999897E-3</v>
      </c>
      <c r="J231" s="26">
        <f>'Clean Swap Data'!H203-'Clean Swap Data'!H202</f>
        <v>-8.999999999999897E-3</v>
      </c>
      <c r="K231" s="26">
        <f>'Clean Swap Data'!I203-'Clean Swap Data'!I202</f>
        <v>-8.999999999999897E-3</v>
      </c>
      <c r="L231" s="26">
        <f>'Clean Swap Data'!J203-'Clean Swap Data'!J202</f>
        <v>-8.999999999999897E-3</v>
      </c>
      <c r="M231" s="26">
        <f>'Clean Swap Data'!K203-'Clean Swap Data'!K202</f>
        <v>-8.999999999999897E-3</v>
      </c>
      <c r="O231" s="23">
        <f ca="1"/>
        <v>-2.0696226454292442E-2</v>
      </c>
      <c r="P231" s="23">
        <f ca="1"/>
        <v>-1.0873312053502126E-2</v>
      </c>
      <c r="Q231" s="23">
        <f ca="1"/>
        <v>6.0549061163974755E-3</v>
      </c>
      <c r="S231" s="27">
        <f t="shared" si="28"/>
        <v>-8.999999999999897E-3</v>
      </c>
      <c r="T231" s="27">
        <f t="shared" si="29"/>
        <v>-1.6999999999999904E-2</v>
      </c>
      <c r="U231" s="23">
        <f t="shared" si="30"/>
        <v>7.0000000000001172E-3</v>
      </c>
    </row>
    <row r="232" spans="3:21" x14ac:dyDescent="0.2">
      <c r="C232" s="17">
        <f>'Clean Swap Data'!A204</f>
        <v>43536</v>
      </c>
      <c r="D232" s="26">
        <f>'Clean Swap Data'!B204-'Clean Swap Data'!B203</f>
        <v>-2.0999999999999908E-2</v>
      </c>
      <c r="E232" s="26">
        <f>'Clean Swap Data'!C204-'Clean Swap Data'!C203</f>
        <v>-2.0000000000000018E-2</v>
      </c>
      <c r="F232" s="26">
        <f>'Clean Swap Data'!D204-'Clean Swap Data'!D203</f>
        <v>-2.0999999999999908E-2</v>
      </c>
      <c r="G232" s="26">
        <f>'Clean Swap Data'!E204-'Clean Swap Data'!E203</f>
        <v>-1.9000000000000128E-2</v>
      </c>
      <c r="H232" s="26">
        <f>'Clean Swap Data'!F204-'Clean Swap Data'!F203</f>
        <v>-1.7999999999999794E-2</v>
      </c>
      <c r="I232" s="26">
        <f>'Clean Swap Data'!G204-'Clean Swap Data'!G203</f>
        <v>-1.9000000000000128E-2</v>
      </c>
      <c r="J232" s="26">
        <f>'Clean Swap Data'!H204-'Clean Swap Data'!H203</f>
        <v>-1.8000000000000238E-2</v>
      </c>
      <c r="K232" s="26">
        <f>'Clean Swap Data'!I204-'Clean Swap Data'!I203</f>
        <v>-1.8000000000000238E-2</v>
      </c>
      <c r="L232" s="26">
        <f>'Clean Swap Data'!J204-'Clean Swap Data'!J203</f>
        <v>-1.7999999999999794E-2</v>
      </c>
      <c r="M232" s="26">
        <f>'Clean Swap Data'!K204-'Clean Swap Data'!K203</f>
        <v>-1.8000000000000238E-2</v>
      </c>
      <c r="O232" s="23">
        <f ca="1"/>
        <v>-5.8162565155225304E-2</v>
      </c>
      <c r="P232" s="23">
        <f ca="1"/>
        <v>1.1903026515289239E-2</v>
      </c>
      <c r="Q232" s="23">
        <f ca="1"/>
        <v>-9.7124494856408797E-3</v>
      </c>
      <c r="S232" s="27">
        <f t="shared" si="28"/>
        <v>-1.8000000000000238E-2</v>
      </c>
      <c r="T232" s="27">
        <f t="shared" si="29"/>
        <v>2.9999999999996696E-3</v>
      </c>
      <c r="U232" s="23">
        <f t="shared" si="30"/>
        <v>2.9999999999996696E-3</v>
      </c>
    </row>
    <row r="233" spans="3:21" x14ac:dyDescent="0.2">
      <c r="C233" s="17">
        <f>'Clean Swap Data'!A205</f>
        <v>43537</v>
      </c>
      <c r="D233" s="26">
        <f>'Clean Swap Data'!B205-'Clean Swap Data'!B204</f>
        <v>0</v>
      </c>
      <c r="E233" s="26">
        <f>'Clean Swap Data'!C205-'Clean Swap Data'!C204</f>
        <v>-3.0000000000001137E-3</v>
      </c>
      <c r="F233" s="26">
        <f>'Clean Swap Data'!D205-'Clean Swap Data'!D204</f>
        <v>-4.9999999999998934E-3</v>
      </c>
      <c r="G233" s="26">
        <f>'Clean Swap Data'!E205-'Clean Swap Data'!E204</f>
        <v>-5.9999999999997833E-3</v>
      </c>
      <c r="H233" s="26">
        <f>'Clean Swap Data'!F205-'Clean Swap Data'!F204</f>
        <v>-9.0000000000003411E-3</v>
      </c>
      <c r="I233" s="26">
        <f>'Clean Swap Data'!G205-'Clean Swap Data'!G204</f>
        <v>-9.9999999999997868E-3</v>
      </c>
      <c r="J233" s="26">
        <f>'Clean Swap Data'!H205-'Clean Swap Data'!H204</f>
        <v>-1.399999999999979E-2</v>
      </c>
      <c r="K233" s="26">
        <f>'Clean Swap Data'!I205-'Clean Swap Data'!I204</f>
        <v>-1.399999999999979E-2</v>
      </c>
      <c r="L233" s="26">
        <f>'Clean Swap Data'!J205-'Clean Swap Data'!J204</f>
        <v>-1.6000000000000014E-2</v>
      </c>
      <c r="M233" s="26">
        <f>'Clean Swap Data'!K205-'Clean Swap Data'!K204</f>
        <v>-1.6999999999999904E-2</v>
      </c>
      <c r="O233" s="23">
        <f ca="1"/>
        <v>-3.1688541408851523E-2</v>
      </c>
      <c r="P233" s="23">
        <f ca="1"/>
        <v>-1.2779776178329474E-2</v>
      </c>
      <c r="Q233" s="23">
        <f ca="1"/>
        <v>-3.5248093082964884E-3</v>
      </c>
      <c r="S233" s="27">
        <f t="shared" si="28"/>
        <v>-1.6999999999999904E-2</v>
      </c>
      <c r="T233" s="27">
        <f t="shared" si="29"/>
        <v>-1.6999999999999904E-2</v>
      </c>
      <c r="U233" s="23">
        <f t="shared" si="30"/>
        <v>-7.0000000000001172E-3</v>
      </c>
    </row>
    <row r="234" spans="3:21" x14ac:dyDescent="0.2">
      <c r="C234" s="17">
        <f>'Clean Swap Data'!A206</f>
        <v>43538</v>
      </c>
      <c r="D234" s="26">
        <f>'Clean Swap Data'!B206-'Clean Swap Data'!B205</f>
        <v>6.9999999999996732E-3</v>
      </c>
      <c r="E234" s="26">
        <f>'Clean Swap Data'!C206-'Clean Swap Data'!C205</f>
        <v>-4.9999999999998934E-3</v>
      </c>
      <c r="F234" s="26">
        <f>'Clean Swap Data'!D206-'Clean Swap Data'!D205</f>
        <v>-3.0000000000001137E-3</v>
      </c>
      <c r="G234" s="26">
        <f>'Clean Swap Data'!E206-'Clean Swap Data'!E205</f>
        <v>-2.0000000000002238E-3</v>
      </c>
      <c r="H234" s="26">
        <f>'Clean Swap Data'!F206-'Clean Swap Data'!F205</f>
        <v>2.0000000000002238E-3</v>
      </c>
      <c r="I234" s="26">
        <f>'Clean Swap Data'!G206-'Clean Swap Data'!G205</f>
        <v>4.0000000000000036E-3</v>
      </c>
      <c r="J234" s="26">
        <f>'Clean Swap Data'!H206-'Clean Swap Data'!H205</f>
        <v>5.9999999999997833E-3</v>
      </c>
      <c r="K234" s="26">
        <f>'Clean Swap Data'!I206-'Clean Swap Data'!I205</f>
        <v>4.9999999999998934E-3</v>
      </c>
      <c r="L234" s="26">
        <f>'Clean Swap Data'!J206-'Clean Swap Data'!J205</f>
        <v>6.9999999999996732E-3</v>
      </c>
      <c r="M234" s="26">
        <f>'Clean Swap Data'!K206-'Clean Swap Data'!K205</f>
        <v>8.0000000000000071E-3</v>
      </c>
      <c r="O234" s="23">
        <f ca="1"/>
        <v>8.7722790763417463E-3</v>
      </c>
      <c r="P234" s="23">
        <f ca="1"/>
        <v>7.9273732224346659E-3</v>
      </c>
      <c r="Q234" s="23">
        <f ca="1"/>
        <v>1.159312769684241E-2</v>
      </c>
      <c r="S234" s="27">
        <f t="shared" si="28"/>
        <v>8.0000000000000071E-3</v>
      </c>
      <c r="T234" s="27">
        <f t="shared" si="29"/>
        <v>1.000000000000334E-3</v>
      </c>
      <c r="U234" s="23">
        <f t="shared" si="30"/>
        <v>2.0999999999999908E-2</v>
      </c>
    </row>
    <row r="235" spans="3:21" x14ac:dyDescent="0.2">
      <c r="C235" s="17">
        <f>'Clean Swap Data'!A207</f>
        <v>43539</v>
      </c>
      <c r="D235" s="26">
        <f>'Clean Swap Data'!B207-'Clean Swap Data'!B206</f>
        <v>-1.9999999999997797E-3</v>
      </c>
      <c r="E235" s="26">
        <f>'Clean Swap Data'!C207-'Clean Swap Data'!C206</f>
        <v>-1.6999999999999904E-2</v>
      </c>
      <c r="F235" s="26">
        <f>'Clean Swap Data'!D207-'Clean Swap Data'!D206</f>
        <v>-2.4000000000000021E-2</v>
      </c>
      <c r="G235" s="26">
        <f>'Clean Swap Data'!E207-'Clean Swap Data'!E206</f>
        <v>-2.5999999999999801E-2</v>
      </c>
      <c r="H235" s="26">
        <f>'Clean Swap Data'!F207-'Clean Swap Data'!F206</f>
        <v>-2.7000000000000135E-2</v>
      </c>
      <c r="I235" s="26">
        <f>'Clean Swap Data'!G207-'Clean Swap Data'!G206</f>
        <v>-2.8000000000000025E-2</v>
      </c>
      <c r="J235" s="26">
        <f>'Clean Swap Data'!H207-'Clean Swap Data'!H206</f>
        <v>-2.8000000000000025E-2</v>
      </c>
      <c r="K235" s="26">
        <f>'Clean Swap Data'!I207-'Clean Swap Data'!I206</f>
        <v>-2.6000000000000245E-2</v>
      </c>
      <c r="L235" s="26">
        <f>'Clean Swap Data'!J207-'Clean Swap Data'!J206</f>
        <v>-2.5999999999999801E-2</v>
      </c>
      <c r="M235" s="26">
        <f>'Clean Swap Data'!K207-'Clean Swap Data'!K206</f>
        <v>-2.5999999999999801E-2</v>
      </c>
      <c r="O235" s="23">
        <f ca="1"/>
        <v>-7.6160260781801908E-2</v>
      </c>
      <c r="P235" s="23">
        <f ca="1"/>
        <v>-5.7850742640473112E-3</v>
      </c>
      <c r="Q235" s="23">
        <f ca="1"/>
        <v>5.2865915352150244E-3</v>
      </c>
      <c r="S235" s="27">
        <f t="shared" si="28"/>
        <v>-2.5999999999999801E-2</v>
      </c>
      <c r="T235" s="27">
        <f t="shared" si="29"/>
        <v>-2.4000000000000021E-2</v>
      </c>
      <c r="U235" s="23">
        <f t="shared" si="30"/>
        <v>2.0000000000000462E-2</v>
      </c>
    </row>
    <row r="236" spans="3:21" x14ac:dyDescent="0.2">
      <c r="C236" s="17">
        <f>'Clean Swap Data'!A208</f>
        <v>43542</v>
      </c>
      <c r="D236" s="26">
        <f>'Clean Swap Data'!B208-'Clean Swap Data'!B207</f>
        <v>8.0000000000000071E-3</v>
      </c>
      <c r="E236" s="26">
        <f>'Clean Swap Data'!C208-'Clean Swap Data'!C207</f>
        <v>1.2999999999999901E-2</v>
      </c>
      <c r="F236" s="26">
        <f>'Clean Swap Data'!D208-'Clean Swap Data'!D207</f>
        <v>1.6000000000000014E-2</v>
      </c>
      <c r="G236" s="26">
        <f>'Clean Swap Data'!E208-'Clean Swap Data'!E207</f>
        <v>1.499999999999968E-2</v>
      </c>
      <c r="H236" s="26">
        <f>'Clean Swap Data'!F208-'Clean Swap Data'!F207</f>
        <v>1.4000000000000234E-2</v>
      </c>
      <c r="I236" s="26">
        <f>'Clean Swap Data'!G208-'Clean Swap Data'!G207</f>
        <v>1.4000000000000234E-2</v>
      </c>
      <c r="J236" s="26">
        <f>'Clean Swap Data'!H208-'Clean Swap Data'!H207</f>
        <v>1.3000000000000345E-2</v>
      </c>
      <c r="K236" s="26">
        <f>'Clean Swap Data'!I208-'Clean Swap Data'!I207</f>
        <v>1.1000000000000121E-2</v>
      </c>
      <c r="L236" s="26">
        <f>'Clean Swap Data'!J208-'Clean Swap Data'!J207</f>
        <v>8.999999999999897E-3</v>
      </c>
      <c r="M236" s="26">
        <f>'Clean Swap Data'!K208-'Clean Swap Data'!K207</f>
        <v>1.1000000000000121E-2</v>
      </c>
      <c r="O236" s="23">
        <f ca="1"/>
        <v>3.9182931219614719E-2</v>
      </c>
      <c r="P236" s="23">
        <f ca="1"/>
        <v>-7.3918845202770849E-3</v>
      </c>
      <c r="Q236" s="23">
        <f ca="1"/>
        <v>-7.1834819832748914E-4</v>
      </c>
      <c r="S236" s="27">
        <f t="shared" si="28"/>
        <v>1.1000000000000121E-2</v>
      </c>
      <c r="T236" s="27">
        <f t="shared" si="29"/>
        <v>3.0000000000001137E-3</v>
      </c>
      <c r="U236" s="23">
        <f t="shared" si="30"/>
        <v>-1.2999999999999901E-2</v>
      </c>
    </row>
    <row r="237" spans="3:21" ht="16" thickBot="1" x14ac:dyDescent="0.25">
      <c r="C237" s="22">
        <f>'Clean Swap Data'!A209</f>
        <v>43545</v>
      </c>
      <c r="D237" s="26">
        <f>'Clean Swap Data'!B209-'Clean Swap Data'!B208</f>
        <v>-3.6000000000000032E-2</v>
      </c>
      <c r="E237" s="26">
        <f>'Clean Swap Data'!C209-'Clean Swap Data'!C208</f>
        <v>-6.999999999999984E-2</v>
      </c>
      <c r="F237" s="26">
        <f>'Clean Swap Data'!D209-'Clean Swap Data'!D208</f>
        <v>-8.4000000000000075E-2</v>
      </c>
      <c r="G237" s="26">
        <f>'Clean Swap Data'!E209-'Clean Swap Data'!E208</f>
        <v>-8.8999999999999968E-2</v>
      </c>
      <c r="H237" s="26">
        <f>'Clean Swap Data'!F209-'Clean Swap Data'!F208</f>
        <v>-9.0000000000000302E-2</v>
      </c>
      <c r="I237" s="26">
        <f>'Clean Swap Data'!G209-'Clean Swap Data'!G208</f>
        <v>-9.2000000000000082E-2</v>
      </c>
      <c r="J237" s="26">
        <f>'Clean Swap Data'!H209-'Clean Swap Data'!H208</f>
        <v>-9.2000000000000082E-2</v>
      </c>
      <c r="K237" s="26">
        <f>'Clean Swap Data'!I209-'Clean Swap Data'!I208</f>
        <v>-9.0999999999999748E-2</v>
      </c>
      <c r="L237" s="26">
        <f>'Clean Swap Data'!J209-'Clean Swap Data'!J208</f>
        <v>-8.9999999999999858E-2</v>
      </c>
      <c r="M237" s="26">
        <f>'Clean Swap Data'!K209-'Clean Swap Data'!K208</f>
        <v>-9.2000000000000082E-2</v>
      </c>
      <c r="O237" s="23">
        <f ca="1"/>
        <v>-0.26649264193218236</v>
      </c>
      <c r="P237" s="23">
        <f ca="1"/>
        <v>9.8934516369983405E-5</v>
      </c>
      <c r="Q237" s="23">
        <f ca="1"/>
        <v>-4.7787711875566016E-3</v>
      </c>
      <c r="S237" s="27">
        <f t="shared" si="28"/>
        <v>-9.2000000000000082E-2</v>
      </c>
      <c r="T237" s="27">
        <f t="shared" si="29"/>
        <v>-5.600000000000005E-2</v>
      </c>
      <c r="U237" s="23">
        <f t="shared" si="30"/>
        <v>4.0000000000000036E-2</v>
      </c>
    </row>
    <row r="238" spans="3:21" x14ac:dyDescent="0.2">
      <c r="C238" s="1"/>
      <c r="D238" s="4"/>
      <c r="E238" s="4"/>
      <c r="F238" s="4"/>
      <c r="G238" s="4"/>
      <c r="H238" s="4"/>
      <c r="I238" s="4"/>
      <c r="J238" s="4"/>
      <c r="K238" s="4"/>
      <c r="L238" s="4"/>
      <c r="M238" s="4"/>
      <c r="S238" s="5"/>
      <c r="T238" s="5"/>
    </row>
  </sheetData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Clean Swap Data</vt:lpstr>
      <vt:lpstr>diffs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argyn</dc:creator>
  <cp:lastModifiedBy>Microsoft Office User</cp:lastModifiedBy>
  <dcterms:created xsi:type="dcterms:W3CDTF">2019-03-31T17:03:43Z</dcterms:created>
  <dcterms:modified xsi:type="dcterms:W3CDTF">2023-11-27T19:51:59Z</dcterms:modified>
</cp:coreProperties>
</file>